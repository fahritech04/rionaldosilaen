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ionaldosilaen\data\"/>
    </mc:Choice>
  </mc:AlternateContent>
  <xr:revisionPtr revIDLastSave="0" documentId="13_ncr:1_{95083303-F3E6-42CE-B786-62D21C1726F2}" xr6:coauthVersionLast="47" xr6:coauthVersionMax="47" xr10:uidLastSave="{00000000-0000-0000-0000-000000000000}"/>
  <bookViews>
    <workbookView xWindow="-120" yWindow="-120" windowWidth="20730" windowHeight="11760" tabRatio="632" firstSheet="1" activeTab="2" xr2:uid="{51C07C40-CE71-4EF6-8E1B-C1439EB1384E}"/>
  </bookViews>
  <sheets>
    <sheet name="IMPLEMENTASI MRP" sheetId="4" r:id="rId1"/>
    <sheet name="IMPLEMENTASI PEMESANAN BARANG" sheetId="7" r:id="rId2"/>
    <sheet name="IMPLEMENTASI QUALITY CONTROL" sheetId="2" r:id="rId3"/>
    <sheet name="IMPLEMENTASI FIFO" sheetId="1" r:id="rId4"/>
    <sheet name="ADMINISTRASI DEFECT" sheetId="3" r:id="rId5"/>
    <sheet name="IMPLEMENTASI VPI" sheetId="5" r:id="rId6"/>
    <sheet name="Dasbord" sheetId="9" r:id="rId7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P50" i="9" l="1"/>
  <c r="BP51" i="9"/>
  <c r="BP52" i="9"/>
  <c r="BS41" i="9"/>
  <c r="BS42" i="9"/>
  <c r="BP41" i="9"/>
  <c r="BP42" i="9"/>
  <c r="BS40" i="9"/>
  <c r="BP40" i="9"/>
  <c r="BR31" i="9"/>
  <c r="BR32" i="9"/>
  <c r="BQ31" i="9"/>
  <c r="S20" i="9" s="1"/>
  <c r="BQ32" i="9"/>
  <c r="U20" i="9" s="1"/>
  <c r="BP31" i="9"/>
  <c r="S19" i="9" s="1"/>
  <c r="BP32" i="9"/>
  <c r="U19" i="9" s="1"/>
  <c r="BR30" i="9"/>
  <c r="BQ30" i="9"/>
  <c r="Q20" i="9" s="1"/>
  <c r="BP30" i="9"/>
  <c r="Q19" i="9" s="1"/>
  <c r="E14" i="4"/>
  <c r="D16" i="4" s="1"/>
  <c r="E15" i="4" s="1"/>
  <c r="E13" i="4" s="1"/>
  <c r="K11" i="4"/>
  <c r="J11" i="4"/>
  <c r="I11" i="4"/>
  <c r="H11" i="4"/>
  <c r="G11" i="4"/>
  <c r="F11" i="4"/>
  <c r="E11" i="4"/>
  <c r="K8" i="4"/>
  <c r="J8" i="4"/>
  <c r="I8" i="4"/>
  <c r="H8" i="4"/>
  <c r="G8" i="4"/>
  <c r="F8" i="4"/>
  <c r="E8" i="4"/>
  <c r="D8" i="4"/>
  <c r="H10" i="1"/>
  <c r="I6" i="1"/>
  <c r="H9" i="3"/>
  <c r="BS52" i="9" s="1"/>
  <c r="H8" i="3"/>
  <c r="BS51" i="9" s="1"/>
  <c r="H7" i="3"/>
  <c r="BS50" i="9" s="1"/>
  <c r="G23" i="5"/>
  <c r="T5" i="2"/>
  <c r="L7" i="3"/>
  <c r="F67" i="7"/>
  <c r="F72" i="7"/>
  <c r="F77" i="7"/>
  <c r="N9" i="3"/>
  <c r="N8" i="3"/>
  <c r="M9" i="3"/>
  <c r="G10" i="5" s="1"/>
  <c r="M8" i="3"/>
  <c r="G9" i="5" s="1"/>
  <c r="L9" i="3"/>
  <c r="BR22" i="9" s="1"/>
  <c r="L8" i="3"/>
  <c r="BR21" i="9" s="1"/>
  <c r="T6" i="2"/>
  <c r="T7" i="2"/>
  <c r="T8" i="2"/>
  <c r="T9" i="2"/>
  <c r="T10" i="2"/>
  <c r="S6" i="2"/>
  <c r="S7" i="2"/>
  <c r="S8" i="2"/>
  <c r="S9" i="2"/>
  <c r="S10" i="2"/>
  <c r="S5" i="2"/>
  <c r="D7" i="3"/>
  <c r="BQ50" i="9" s="1"/>
  <c r="D9" i="3"/>
  <c r="BQ52" i="9" s="1"/>
  <c r="D8" i="3"/>
  <c r="BQ51" i="9" s="1"/>
  <c r="E7" i="3"/>
  <c r="G7" i="3"/>
  <c r="BR50" i="9" s="1"/>
  <c r="F7" i="3"/>
  <c r="E9" i="3"/>
  <c r="E8" i="3"/>
  <c r="I6" i="2"/>
  <c r="I7" i="2"/>
  <c r="I8" i="2"/>
  <c r="I9" i="2"/>
  <c r="I10" i="2"/>
  <c r="I5" i="2"/>
  <c r="F8" i="3"/>
  <c r="F9" i="3"/>
  <c r="L8" i="1"/>
  <c r="D25" i="5"/>
  <c r="D24" i="5"/>
  <c r="D23" i="5"/>
  <c r="K24" i="5"/>
  <c r="K23" i="5"/>
  <c r="K22" i="5"/>
  <c r="G25" i="5"/>
  <c r="G24" i="5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6" i="2"/>
  <c r="J7" i="2"/>
  <c r="J8" i="2"/>
  <c r="J5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M8" i="1"/>
  <c r="M9" i="1"/>
  <c r="G8" i="3"/>
  <c r="BR51" i="9" s="1"/>
  <c r="G9" i="3"/>
  <c r="BR52" i="9" s="1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B6" i="2"/>
  <c r="M10" i="1"/>
  <c r="L10" i="1"/>
  <c r="L9" i="1"/>
  <c r="H6" i="1"/>
  <c r="G8" i="5" l="1"/>
  <c r="BR20" i="9"/>
  <c r="H10" i="5"/>
  <c r="F25" i="5" s="1"/>
  <c r="BR42" i="9" s="1"/>
  <c r="BQ22" i="9"/>
  <c r="H9" i="5"/>
  <c r="F24" i="5" s="1"/>
  <c r="BR41" i="9" s="1"/>
  <c r="BQ21" i="9"/>
  <c r="F14" i="4"/>
  <c r="E16" i="4" s="1"/>
  <c r="F15" i="4" s="1"/>
  <c r="F13" i="4" s="1"/>
  <c r="N7" i="3"/>
  <c r="M7" i="3"/>
  <c r="N8" i="1"/>
  <c r="H7" i="1"/>
  <c r="E8" i="5"/>
  <c r="F10" i="5"/>
  <c r="E9" i="5"/>
  <c r="E10" i="5"/>
  <c r="F8" i="5"/>
  <c r="F9" i="5"/>
  <c r="M5" i="2"/>
  <c r="M6" i="2"/>
  <c r="M8" i="2"/>
  <c r="M9" i="2"/>
  <c r="M10" i="2"/>
  <c r="M7" i="2"/>
  <c r="B7" i="2"/>
  <c r="N10" i="1"/>
  <c r="O10" i="1" s="1"/>
  <c r="N9" i="1"/>
  <c r="O9" i="1" s="1"/>
  <c r="E23" i="5" l="1"/>
  <c r="BQ20" i="9"/>
  <c r="H8" i="5"/>
  <c r="F23" i="5" s="1"/>
  <c r="BR40" i="9" s="1"/>
  <c r="G14" i="4"/>
  <c r="F16" i="4" s="1"/>
  <c r="G15" i="4" s="1"/>
  <c r="G13" i="4" s="1"/>
  <c r="I7" i="1"/>
  <c r="O8" i="1"/>
  <c r="E25" i="5"/>
  <c r="E24" i="5"/>
  <c r="B8" i="2"/>
  <c r="B9" i="2" s="1"/>
  <c r="B10" i="2" s="1"/>
  <c r="B11" i="2" s="1"/>
  <c r="H8" i="1"/>
  <c r="BQ40" i="9" l="1"/>
  <c r="H23" i="5"/>
  <c r="H25" i="5"/>
  <c r="BT42" i="9" s="1"/>
  <c r="BQ42" i="9"/>
  <c r="H24" i="5"/>
  <c r="BT41" i="9" s="1"/>
  <c r="BQ41" i="9"/>
  <c r="H14" i="4"/>
  <c r="G16" i="4" s="1"/>
  <c r="H15" i="4" s="1"/>
  <c r="H13" i="4"/>
  <c r="I25" i="5"/>
  <c r="BU42" i="9" s="1"/>
  <c r="I24" i="5"/>
  <c r="BU41" i="9" s="1"/>
  <c r="B12" i="2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I8" i="1"/>
  <c r="H9" i="1"/>
  <c r="I23" i="5" l="1"/>
  <c r="BU40" i="9" s="1"/>
  <c r="BT40" i="9"/>
  <c r="H19" i="9" s="1"/>
  <c r="I14" i="4"/>
  <c r="H16" i="4" s="1"/>
  <c r="I15" i="4" s="1"/>
  <c r="I13" i="4" s="1"/>
  <c r="I9" i="1"/>
  <c r="J14" i="4" l="1"/>
  <c r="I16" i="4" s="1"/>
  <c r="J15" i="4" s="1"/>
  <c r="J13" i="4" s="1"/>
  <c r="I10" i="1"/>
  <c r="H11" i="1"/>
  <c r="K14" i="4" l="1"/>
  <c r="J16" i="4" s="1"/>
  <c r="K15" i="4" s="1"/>
  <c r="K13" i="4" s="1"/>
  <c r="I11" i="1"/>
</calcChain>
</file>

<file path=xl/sharedStrings.xml><?xml version="1.0" encoding="utf-8"?>
<sst xmlns="http://schemas.openxmlformats.org/spreadsheetml/2006/main" count="447" uniqueCount="271">
  <si>
    <t>Tanggal</t>
  </si>
  <si>
    <t>Jenis (IN/OUT)</t>
  </si>
  <si>
    <t>Kode Material</t>
  </si>
  <si>
    <t>Vendor</t>
  </si>
  <si>
    <t>Masuk (kg)</t>
  </si>
  <si>
    <t>Keluar (kg)</t>
  </si>
  <si>
    <t>Sisa Stok (kg)</t>
  </si>
  <si>
    <t>Margin Kapasitas (kg)</t>
  </si>
  <si>
    <t>Status</t>
  </si>
  <si>
    <t>IN</t>
  </si>
  <si>
    <t>Vendor A</t>
  </si>
  <si>
    <t>Vendor B</t>
  </si>
  <si>
    <t>OUT</t>
  </si>
  <si>
    <t>Vendor C</t>
  </si>
  <si>
    <t>K-1-PUTIH</t>
  </si>
  <si>
    <t>K-1-HITAM</t>
  </si>
  <si>
    <t>K-1-ABU-ABU</t>
  </si>
  <si>
    <t>1 Juni 2026</t>
  </si>
  <si>
    <t>4 Juni 2026</t>
  </si>
  <si>
    <t>Total Masuk (kg)</t>
  </si>
  <si>
    <t>Total Keluar (kg)</t>
  </si>
  <si>
    <t>5 Juni 2026</t>
  </si>
  <si>
    <t>2 Juni 2026</t>
  </si>
  <si>
    <t>3 Juni 2026</t>
  </si>
  <si>
    <t>Total Gudang (kg)</t>
  </si>
  <si>
    <t>No.</t>
  </si>
  <si>
    <t>Deskripsi Defect</t>
  </si>
  <si>
    <t>Foto
Bukti?</t>
  </si>
  <si>
    <t>HOLD</t>
  </si>
  <si>
    <t>LOLOS</t>
  </si>
  <si>
    <t>Tanggal Masuk</t>
  </si>
  <si>
    <t>Kode Sampel</t>
  </si>
  <si>
    <t>Ac ≤</t>
  </si>
  <si>
    <t>Re &gt;</t>
  </si>
  <si>
    <t>Ukuran Sampel (n)</t>
  </si>
  <si>
    <t>Hasil AQL 2.5</t>
  </si>
  <si>
    <t>Keputusan 
(LOLOS/RETUR/HOLD)</t>
  </si>
  <si>
    <t>Validasi Supervisor</t>
  </si>
  <si>
    <t>Ukuran Sampel</t>
  </si>
  <si>
    <t>B</t>
  </si>
  <si>
    <t>G</t>
  </si>
  <si>
    <t>10 Juni 2026</t>
  </si>
  <si>
    <t>15 Juni 2026</t>
  </si>
  <si>
    <t>16 Juni 2026</t>
  </si>
  <si>
    <t>17 Juni 2026</t>
  </si>
  <si>
    <t>18 Juni 2026</t>
  </si>
  <si>
    <t>Warna tidak sesuai</t>
  </si>
  <si>
    <t>Terlampir</t>
  </si>
  <si>
    <t>Cacat Ditemukan</t>
  </si>
  <si>
    <t>Hasil Akhir</t>
  </si>
  <si>
    <t>Keputusan</t>
  </si>
  <si>
    <t>RETURN</t>
  </si>
  <si>
    <t>Koordinasi Vendor</t>
  </si>
  <si>
    <t>Robek</t>
  </si>
  <si>
    <t>-</t>
  </si>
  <si>
    <t>Ukuran
Sampel (n)</t>
  </si>
  <si>
    <t>Total Cacat
Ditemukan</t>
  </si>
  <si>
    <t>Total Hasil Akhir Lolos</t>
  </si>
  <si>
    <t>Total Hasil Akhir Return</t>
  </si>
  <si>
    <t>MASTER PRODUCTION SCHEDULE (MPS)</t>
  </si>
  <si>
    <t>Minggu 1</t>
  </si>
  <si>
    <t>Minggu 2</t>
  </si>
  <si>
    <t>Minggu 3</t>
  </si>
  <si>
    <t>Satuan</t>
  </si>
  <si>
    <t>Keterangan</t>
  </si>
  <si>
    <t>Demand / Pesanan (pcs)</t>
  </si>
  <si>
    <t>pcs</t>
  </si>
  <si>
    <t>Data permintaan / pesanan produksi</t>
  </si>
  <si>
    <t>MPS / Produksi (pcs)</t>
  </si>
  <si>
    <t>Rencana produksi = memenuhi demand</t>
  </si>
  <si>
    <t>Keterangan / Rumus</t>
  </si>
  <si>
    <t>GR</t>
  </si>
  <si>
    <t>Gross Requirement
(Kebutuhan Kotor)</t>
  </si>
  <si>
    <t>kg</t>
  </si>
  <si>
    <t>GR = MPS × BOM = Produksi × 0,5 kg/pcs</t>
  </si>
  <si>
    <t>SR</t>
  </si>
  <si>
    <t>Scheduled Receipts
(Penerimaan Terjadwal)</t>
  </si>
  <si>
    <t>PoH</t>
  </si>
  <si>
    <t>Projected On Hand
(Persediaan Awal Periode)</t>
  </si>
  <si>
    <t>NR</t>
  </si>
  <si>
    <t>Net Requirement
(Kebutuhan Bersih)</t>
  </si>
  <si>
    <t>PORt</t>
  </si>
  <si>
    <t>Planned Order Receipt
(Penerimaan Terencana)</t>
  </si>
  <si>
    <t>PORel</t>
  </si>
  <si>
    <t>Planned Order Release
(Pelepasan Pesanan Terencana)</t>
  </si>
  <si>
    <t>Minggu 4</t>
  </si>
  <si>
    <t>Minggu 5</t>
  </si>
  <si>
    <t>Minggu 6</t>
  </si>
  <si>
    <t>Minggu 7</t>
  </si>
  <si>
    <t>Minggu 0</t>
  </si>
  <si>
    <t>Quality</t>
  </si>
  <si>
    <t>Delivery</t>
  </si>
  <si>
    <t>Price</t>
  </si>
  <si>
    <t>VPI</t>
  </si>
  <si>
    <t>Ranking</t>
  </si>
  <si>
    <t>Qty Diterima (kg)</t>
  </si>
  <si>
    <t>Qty Defect (kg)</t>
  </si>
  <si>
    <t>Total Pengiriman</t>
  </si>
  <si>
    <t>Tepat Waktu</t>
  </si>
  <si>
    <t>Harga (Rp/kg)</t>
  </si>
  <si>
    <t xml:space="preserve">A </t>
  </si>
  <si>
    <t xml:space="preserve">C </t>
  </si>
  <si>
    <t xml:space="preserve">D </t>
  </si>
  <si>
    <t xml:space="preserve">E </t>
  </si>
  <si>
    <t xml:space="preserve">F </t>
  </si>
  <si>
    <t xml:space="preserve">H </t>
  </si>
  <si>
    <t xml:space="preserve">J </t>
  </si>
  <si>
    <t xml:space="preserve">K </t>
  </si>
  <si>
    <t xml:space="preserve">L </t>
  </si>
  <si>
    <t>Total Pemasanan</t>
  </si>
  <si>
    <t>Ukuran Lot (unit)</t>
  </si>
  <si>
    <t>2 – 8</t>
  </si>
  <si>
    <t>9 – 15</t>
  </si>
  <si>
    <t>16 – 25</t>
  </si>
  <si>
    <t>26 – 50</t>
  </si>
  <si>
    <t>51 – 90</t>
  </si>
  <si>
    <t>91 – 150</t>
  </si>
  <si>
    <t>151 – 280</t>
  </si>
  <si>
    <t>281 – 500</t>
  </si>
  <si>
    <t>501 – 1.200</t>
  </si>
  <si>
    <t>1.201 – 3.200</t>
  </si>
  <si>
    <t>3.201 – 10.000</t>
  </si>
  <si>
    <t>DATA TOTAL PEMESANAN DAN TOTAL JUMLAH BARANG CACAT</t>
  </si>
  <si>
    <t>Tanggal Barang Sampai</t>
  </si>
  <si>
    <t>Status Pengiriman</t>
  </si>
  <si>
    <t>Jadwal Pengiriman PO</t>
  </si>
  <si>
    <t>1 Mei 2026</t>
  </si>
  <si>
    <t>9 Juni 2026</t>
  </si>
  <si>
    <t>14 Juni 2026</t>
  </si>
  <si>
    <t xml:space="preserve">Total Pengiriman </t>
  </si>
  <si>
    <t>Total Pengiriman Delay</t>
  </si>
  <si>
    <t>Total Pengiriman Tepat Waktu</t>
  </si>
  <si>
    <t>DATA TOTAL PENGIRIMAN DELAY &amp; TEPAT WAKTU</t>
  </si>
  <si>
    <t>MATERIAL REQUIREMENTS PLANNING (METODE LFL, LEAD TIME 1 MINGGU, DEFECT RATE 2.5%</t>
  </si>
  <si>
    <t>QUALITY CONTROL  DENGAN SNI AQL 2.5% DAN CHECKLIST 5 POINT INSPEKSI</t>
  </si>
  <si>
    <t>PENYIMPANAN METODE FIFO DENGAN BATAS KAPASITAS 500 KG</t>
  </si>
  <si>
    <t>TABEL SKORING VPI PER VENDOR</t>
  </si>
  <si>
    <t>TABEL PERHITUNGAN KPI UMKM</t>
  </si>
  <si>
    <t>PERSENTASI KPI UMKM</t>
  </si>
  <si>
    <t>Kode Huruf</t>
  </si>
  <si>
    <t>Acceptance Number (Ac ≤)</t>
  </si>
  <si>
    <t>Rejection Number (Re &gt;)</t>
  </si>
  <si>
    <t>A</t>
  </si>
  <si>
    <t>C</t>
  </si>
  <si>
    <t>D</t>
  </si>
  <si>
    <t>E</t>
  </si>
  <si>
    <t>F</t>
  </si>
  <si>
    <t>H</t>
  </si>
  <si>
    <t>J</t>
  </si>
  <si>
    <t>K</t>
  </si>
  <si>
    <t>L</t>
  </si>
  <si>
    <t>Kategori</t>
  </si>
  <si>
    <t>Contoh pada Kain</t>
  </si>
  <si>
    <t>Perlakuan</t>
  </si>
  <si>
    <t>KRITIS</t>
  </si>
  <si>
    <t>Menggagalkan fungsi atau membahayakan produk</t>
  </si>
  <si>
    <t>Lubang besar, kain robek, salah jenis bahan</t>
  </si>
  <si>
    <t>Tidak ditoleransi (Ac = 0 khusus, tolak langsung)</t>
  </si>
  <si>
    <t>MAYOR</t>
  </si>
  <si>
    <t>Menurunkan mutu secara signifikan</t>
  </si>
  <si>
    <t>Belang warna, lubang kecil, gramasi di luar toleransi</t>
  </si>
  <si>
    <t>Ikuti Ac/Re AQL 2,5% (Tabel Tahap 1)</t>
  </si>
  <si>
    <t>MINOR</t>
  </si>
  <si>
    <t>Cacat estetis kecil, tidak ganggu fungsi</t>
  </si>
  <si>
    <t>Noda kecil yang dapat dihilangkan, kerutan ringan</t>
  </si>
  <si>
    <t>Ac/Re lebih longgar (AQL 4,0%)</t>
  </si>
  <si>
    <t>Parameter</t>
  </si>
  <si>
    <t>Kode Huruf Sampel</t>
  </si>
  <si>
    <t>Tingkat Inspeksi</t>
  </si>
  <si>
    <t>Umum II</t>
  </si>
  <si>
    <t>Default SNI ISO 2859-1:2014</t>
  </si>
  <si>
    <t>Modus Inspeksi</t>
  </si>
  <si>
    <t>Normal</t>
  </si>
  <si>
    <t>Default sebelum aturan peralihan</t>
  </si>
  <si>
    <t>Acceptance Number (Ac)</t>
  </si>
  <si>
    <t>Tingkat AQL</t>
  </si>
  <si>
    <t>2,5%</t>
  </si>
  <si>
    <t>Rejection Number (Re)</t>
  </si>
  <si>
    <t>Atribut Material</t>
  </si>
  <si>
    <t>Spesifikasi</t>
  </si>
  <si>
    <t>Toleransi Min</t>
  </si>
  <si>
    <t>Toleransi Maks</t>
  </si>
  <si>
    <t>Perlakuan jika Tidak Sesuai</t>
  </si>
  <si>
    <t>Jenis Kain</t>
  </si>
  <si>
    <t>Cotton combed 30s</t>
  </si>
  <si>
    <t>—</t>
  </si>
  <si>
    <t>Tidak ada penggantian jenis — tolak langsung</t>
  </si>
  <si>
    <t>Lebar Kain</t>
  </si>
  <si>
    <t>180 cm</t>
  </si>
  <si>
    <t>178 cm</t>
  </si>
  <si>
    <t>182 cm</t>
  </si>
  <si>
    <t>Di luar ±2 cm → cacat Mayor → ikuti Ac/Re</t>
  </si>
  <si>
    <t>Gramasi</t>
  </si>
  <si>
    <t>180 gsm</t>
  </si>
  <si>
    <t>171 gsm</t>
  </si>
  <si>
    <t>189 gsm</t>
  </si>
  <si>
    <t>Di luar ±5% → cacat Mayor → ikuti Ac/Re</t>
  </si>
  <si>
    <t>Warna / Pantone</t>
  </si>
  <si>
    <t>Putih solid (Pantone 11-0601)</t>
  </si>
  <si>
    <t>Beda shade antar gulungan = Mayor defect</t>
  </si>
  <si>
    <t>Panjang/Gulungan</t>
  </si>
  <si>
    <t>≥ 5 meter</t>
  </si>
  <si>
    <t>4,8 m</t>
  </si>
  <si>
    <t>Kurang dari 4,8 m → Minors, negosiasi ulang</t>
  </si>
  <si>
    <t>Kemasan</t>
  </si>
  <si>
    <t>Gulungan, terbungkus plastik</t>
  </si>
  <si>
    <t>Basah/rusak = Kritis → tolak langsung</t>
  </si>
  <si>
    <t>PURCHASE ORDER DAN QUALITY SPECIFICATION SHEET</t>
  </si>
  <si>
    <t>Nomor PO</t>
  </si>
  <si>
    <t>PO-2026-06-001</t>
  </si>
  <si>
    <t>Tanggal Terbit</t>
  </si>
  <si>
    <t>[Nama Vendor]</t>
  </si>
  <si>
    <t>Material</t>
  </si>
  <si>
    <t>Cotton combed 30s – K-1-PUTIH</t>
  </si>
  <si>
    <t>Kuantitas (kg)</t>
  </si>
  <si>
    <t>kg / gulungan</t>
  </si>
  <si>
    <t>Harga Satuan (Rp/kg)</t>
  </si>
  <si>
    <t>Rp per kg</t>
  </si>
  <si>
    <t>Total Nilai PO (Rp)</t>
  </si>
  <si>
    <t>KLAUSUL KUALITAS AQL 2,5%</t>
  </si>
  <si>
    <t>Standar Acuan</t>
  </si>
  <si>
    <t>SNI ISO 2859-1:2014</t>
  </si>
  <si>
    <t>2,5% (Mayor) / 0% Kritis</t>
  </si>
  <si>
    <t>Disepakati untuk Brand.id</t>
  </si>
  <si>
    <t>Umum II – Normal</t>
  </si>
  <si>
    <t>Kode Sampel (Lot = kuantitas PO)</t>
  </si>
  <si>
    <t>SPESIFIKASI TEKNIS (QUALITY SPECIFICATION SHEET)</t>
  </si>
  <si>
    <t>180 cm (toleransi ±2 cm)</t>
  </si>
  <si>
    <t>Ukur dengan meteran per gulungan sampel</t>
  </si>
  <si>
    <t>180 gsm (toleransi ±5%)</t>
  </si>
  <si>
    <t>Cek label / timbang sampel</t>
  </si>
  <si>
    <t>Tidak boleh ada beda shade antar gulungan</t>
  </si>
  <si>
    <t>Gulungan, bungkus plastik utuh</t>
  </si>
  <si>
    <t>Basah/rusak → tolak langsung (Kritis)</t>
  </si>
  <si>
    <t>Tidak Ditoleransi: Lubang besar, kain robek, salah jenis bahan (Kritis → Tolak Langsung)</t>
  </si>
  <si>
    <t>IMPLEMENTASI PEMESANAN BARANG DENGAN STANDAR AQL 2,5% DALAM PO &amp; QUALITY SPECIFICATION SHEET</t>
  </si>
  <si>
    <t>Nilai</t>
  </si>
  <si>
    <t>Ukuran Lot</t>
  </si>
  <si>
    <t>15 unit</t>
  </si>
  <si>
    <t>Hasil PO (15 kg × 1 gulungan/kg)</t>
  </si>
  <si>
    <t>Lot 9–15 unit → Kode B</t>
  </si>
  <si>
    <t>3 unit</t>
  </si>
  <si>
    <t>Tabel SNI, Kode B</t>
  </si>
  <si>
    <t>Kode B, AQL 2,5% → Terima jika d ≤ 0</t>
  </si>
  <si>
    <t>Kode B, AQL 2,5% → Tolak jika d ≥ 1</t>
  </si>
  <si>
    <t>Admin Pengadaan / Brand.id 
TTD
Nama: 
Tanggal</t>
  </si>
  <si>
    <t>Vendor (Tanda Tangan &amp; Stempel)
TTD
Nama: 
Tanggal</t>
  </si>
  <si>
    <t>TAHAP 2: KLASIFIKASI TINGKAT DEFECT BAHAN BAKU KAIN BRAND.ID</t>
  </si>
  <si>
    <t xml:space="preserve">TAHAP 5: TEMPLATE PURCHASE ORDER &amp; QUALITY SPECIFICATION SHEET  </t>
  </si>
  <si>
    <t>NR = GR - PoH − SR + SS, dengan syarat min 0</t>
  </si>
  <si>
    <t>PORt M(t) = Jumlah barang yang masuk yang sudah direncanakan dengan LT = 1 minggu</t>
  </si>
  <si>
    <t>SR =Bahan baku yang sudah di pesan/dijadwalkan tiba</t>
  </si>
  <si>
    <t>PoH minggu ini = sisa stok minggu/periode kemarin</t>
  </si>
  <si>
    <t xml:space="preserve">PORel = NR (Lot-for-Lot); Pesanan yang dikirim ke supplier </t>
  </si>
  <si>
    <t>PD</t>
  </si>
  <si>
    <t>Komponen MRP
LT: 1 minggu</t>
  </si>
  <si>
    <t>TAHAP 1: MENGIRIM TABEL RENCANA SAMPEL AQL 2,5</t>
  </si>
  <si>
    <t>TAHAP 3: PENERAPAN STANDAR INSPEKSI AQL 2,5% PADA PENERIMAAN MATERIAL</t>
  </si>
  <si>
    <t>TAHAP 4: PENYUSUNAN QUALITY SPECIFICATION SHEET (QSS) MATERIAL</t>
  </si>
  <si>
    <t>Mengirim Tabel Rencana Sampel AQL 2.5, Klasifikasi tingkat defect, Standart Quality Control yang dipesan, Quality Specification Sheet bahan baku</t>
  </si>
  <si>
    <t>Purchase Order dengan Quality Specification Sheet</t>
  </si>
  <si>
    <t>Lolos</t>
  </si>
  <si>
    <t>Return</t>
  </si>
  <si>
    <t xml:space="preserve">   VENDOR PERFORMANCE INDEX (VPI) &amp; RANKING</t>
  </si>
  <si>
    <t xml:space="preserve">   PERFORMA PENGIRIMAN PER VENDOR </t>
  </si>
  <si>
    <t xml:space="preserve">   STOK DI GUDANG </t>
  </si>
  <si>
    <t>Total Pesanan</t>
  </si>
  <si>
    <t>JUMLAH PESANAN PER VENDOR</t>
  </si>
  <si>
    <t xml:space="preserve">VENDOR TERBAIK </t>
  </si>
  <si>
    <t>SISA STOK GUDANG</t>
  </si>
  <si>
    <t xml:space="preserve">VISUALISASI DASBOARD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</si>
</sst>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  <font>
      <b/>
      <sz val="11"/>
      <color theme="1"/>
      <name val="Times New Roman"/>
      <family val="1"/>
    </font>
    <font>
      <b/>
      <sz val="18"/>
      <color theme="1"/>
      <name val="Times New Roman"/>
      <family val="1"/>
    </font>
    <font>
      <b/>
      <sz val="14"/>
      <name val="Times New Roman"/>
      <family val="1"/>
    </font>
    <font>
      <b/>
      <sz val="10"/>
      <name val="Times New Roman"/>
      <family val="1"/>
    </font>
    <font>
      <b/>
      <sz val="14"/>
      <color theme="1"/>
      <name val="Times New Roman"/>
      <family val="1"/>
    </font>
    <font>
      <b/>
      <sz val="18"/>
      <color rgb="FF1F4E78"/>
      <name val="Times New Roman"/>
      <family val="1"/>
    </font>
    <font>
      <b/>
      <sz val="20"/>
      <name val="Times New Roman"/>
      <family val="1"/>
    </font>
    <font>
      <sz val="30"/>
      <name val="Times New Roman"/>
      <family val="1"/>
    </font>
    <font>
      <sz val="15"/>
      <name val="Times New Roman"/>
      <family val="1"/>
    </font>
    <font>
      <b/>
      <sz val="48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rgb="FFC0C0C0"/>
      </patternFill>
    </fill>
    <fill>
      <patternFill patternType="solid">
        <fgColor theme="5"/>
        <bgColor rgb="FFC0C0C0"/>
      </patternFill>
    </fill>
    <fill>
      <patternFill patternType="solid">
        <fgColor theme="2"/>
        <bgColor rgb="FFC0C0C0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0"/>
        <bgColor rgb="FF003366"/>
      </patternFill>
    </fill>
    <fill>
      <patternFill patternType="solid">
        <fgColor theme="0"/>
        <bgColor rgb="FFFFFFFF"/>
      </patternFill>
    </fill>
    <fill>
      <patternFill patternType="solid">
        <fgColor theme="7"/>
        <bgColor rgb="FF003366"/>
      </patternFill>
    </fill>
    <fill>
      <patternFill patternType="solid">
        <fgColor theme="2"/>
        <bgColor rgb="FF4472C4"/>
      </patternFill>
    </fill>
    <fill>
      <patternFill patternType="solid">
        <fgColor theme="2" tint="-9.9978637043366805E-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6">
    <xf numFmtId="0" fontId="0" fillId="0" borderId="0" xfId="0"/>
    <xf numFmtId="0" fontId="2" fillId="0" borderId="1" xfId="0" applyFont="1" applyBorder="1"/>
    <xf numFmtId="0" fontId="2" fillId="0" borderId="0" xfId="0" applyFont="1"/>
    <xf numFmtId="0" fontId="1" fillId="2" borderId="1" xfId="0" applyFont="1" applyFill="1" applyBorder="1"/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3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4" borderId="0" xfId="0" applyFont="1" applyFill="1"/>
    <xf numFmtId="0" fontId="5" fillId="5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8" fillId="2" borderId="1" xfId="0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10" borderId="14" xfId="0" applyFont="1" applyFill="1" applyBorder="1" applyAlignment="1">
      <alignment horizontal="center" vertical="center" wrapText="1"/>
    </xf>
    <xf numFmtId="0" fontId="5" fillId="10" borderId="11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 wrapText="1"/>
    </xf>
    <xf numFmtId="0" fontId="2" fillId="0" borderId="35" xfId="0" applyFont="1" applyBorder="1"/>
    <xf numFmtId="0" fontId="1" fillId="2" borderId="35" xfId="0" applyFont="1" applyFill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/>
    </xf>
    <xf numFmtId="49" fontId="13" fillId="0" borderId="0" xfId="0" applyNumberFormat="1" applyFont="1" applyAlignment="1">
      <alignment vertical="center"/>
    </xf>
    <xf numFmtId="0" fontId="1" fillId="11" borderId="0" xfId="0" applyFont="1" applyFill="1" applyAlignment="1">
      <alignment vertical="center"/>
    </xf>
    <xf numFmtId="0" fontId="1" fillId="14" borderId="35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12" fillId="8" borderId="3" xfId="0" applyFont="1" applyFill="1" applyBorder="1" applyAlignment="1">
      <alignment horizontal="center" vertical="center"/>
    </xf>
    <xf numFmtId="0" fontId="12" fillId="8" borderId="4" xfId="0" applyFont="1" applyFill="1" applyBorder="1" applyAlignment="1">
      <alignment horizontal="center" vertical="center"/>
    </xf>
    <xf numFmtId="0" fontId="12" fillId="8" borderId="5" xfId="0" applyFont="1" applyFill="1" applyBorder="1" applyAlignment="1">
      <alignment horizontal="center" vertical="center"/>
    </xf>
    <xf numFmtId="0" fontId="12" fillId="8" borderId="6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0" fontId="12" fillId="8" borderId="8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 wrapText="1"/>
    </xf>
    <xf numFmtId="0" fontId="2" fillId="8" borderId="8" xfId="0" applyFont="1" applyFill="1" applyBorder="1" applyAlignment="1">
      <alignment horizontal="center" vertical="center" wrapText="1"/>
    </xf>
    <xf numFmtId="0" fontId="10" fillId="8" borderId="3" xfId="0" applyFont="1" applyFill="1" applyBorder="1" applyAlignment="1">
      <alignment horizontal="center" vertical="center"/>
    </xf>
    <xf numFmtId="0" fontId="10" fillId="8" borderId="4" xfId="0" applyFont="1" applyFill="1" applyBorder="1" applyAlignment="1">
      <alignment horizontal="center" vertical="center"/>
    </xf>
    <xf numFmtId="0" fontId="10" fillId="8" borderId="5" xfId="0" applyFont="1" applyFill="1" applyBorder="1" applyAlignment="1">
      <alignment horizontal="center" vertical="center"/>
    </xf>
    <xf numFmtId="0" fontId="10" fillId="8" borderId="6" xfId="0" applyFont="1" applyFill="1" applyBorder="1" applyAlignment="1">
      <alignment horizontal="center" vertical="center"/>
    </xf>
    <xf numFmtId="0" fontId="10" fillId="8" borderId="7" xfId="0" applyFont="1" applyFill="1" applyBorder="1" applyAlignment="1">
      <alignment horizontal="center" vertical="center"/>
    </xf>
    <xf numFmtId="0" fontId="10" fillId="8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20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left" vertical="center" wrapText="1"/>
    </xf>
    <xf numFmtId="0" fontId="3" fillId="0" borderId="26" xfId="0" applyFont="1" applyBorder="1" applyAlignment="1">
      <alignment horizontal="left" vertical="center" wrapText="1"/>
    </xf>
    <xf numFmtId="0" fontId="3" fillId="0" borderId="27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14" fontId="3" fillId="0" borderId="33" xfId="0" applyNumberFormat="1" applyFont="1" applyBorder="1" applyAlignment="1">
      <alignment horizontal="center" vertical="center" wrapText="1"/>
    </xf>
    <xf numFmtId="14" fontId="3" fillId="0" borderId="18" xfId="0" applyNumberFormat="1" applyFont="1" applyBorder="1" applyAlignment="1">
      <alignment horizontal="center" vertical="center" wrapText="1"/>
    </xf>
    <xf numFmtId="14" fontId="3" fillId="0" borderId="21" xfId="0" applyNumberFormat="1" applyFont="1" applyBorder="1" applyAlignment="1">
      <alignment horizontal="center" vertical="center" wrapText="1"/>
    </xf>
    <xf numFmtId="0" fontId="3" fillId="0" borderId="28" xfId="0" applyFont="1" applyBorder="1" applyAlignment="1">
      <alignment horizontal="left" vertical="center" wrapText="1"/>
    </xf>
    <xf numFmtId="0" fontId="3" fillId="0" borderId="29" xfId="0" applyFont="1" applyBorder="1" applyAlignment="1">
      <alignment horizontal="left" vertical="center" wrapText="1"/>
    </xf>
    <xf numFmtId="0" fontId="3" fillId="0" borderId="30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left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3" fillId="0" borderId="31" xfId="0" applyFont="1" applyBorder="1" applyAlignment="1">
      <alignment horizontal="left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6" fillId="8" borderId="4" xfId="0" applyFont="1" applyFill="1" applyBorder="1" applyAlignment="1">
      <alignment horizontal="center" vertical="center" wrapText="1"/>
    </xf>
    <xf numFmtId="0" fontId="6" fillId="8" borderId="5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6" fillId="8" borderId="7" xfId="0" applyFont="1" applyFill="1" applyBorder="1" applyAlignment="1">
      <alignment horizontal="center" vertical="center" wrapText="1"/>
    </xf>
    <xf numFmtId="0" fontId="6" fillId="8" borderId="8" xfId="0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center" wrapText="1"/>
    </xf>
    <xf numFmtId="0" fontId="6" fillId="8" borderId="4" xfId="0" applyFont="1" applyFill="1" applyBorder="1" applyAlignment="1">
      <alignment horizontal="center" wrapText="1"/>
    </xf>
    <xf numFmtId="0" fontId="6" fillId="8" borderId="5" xfId="0" applyFont="1" applyFill="1" applyBorder="1" applyAlignment="1">
      <alignment horizontal="center" wrapText="1"/>
    </xf>
    <xf numFmtId="0" fontId="6" fillId="8" borderId="6" xfId="0" applyFont="1" applyFill="1" applyBorder="1" applyAlignment="1">
      <alignment horizontal="center" wrapText="1"/>
    </xf>
    <xf numFmtId="0" fontId="6" fillId="8" borderId="7" xfId="0" applyFont="1" applyFill="1" applyBorder="1" applyAlignment="1">
      <alignment horizontal="center" wrapText="1"/>
    </xf>
    <xf numFmtId="0" fontId="6" fillId="8" borderId="8" xfId="0" applyFont="1" applyFill="1" applyBorder="1" applyAlignment="1">
      <alignment horizontal="center" wrapText="1"/>
    </xf>
    <xf numFmtId="0" fontId="9" fillId="8" borderId="3" xfId="0" applyFont="1" applyFill="1" applyBorder="1" applyAlignment="1">
      <alignment horizontal="center" vertical="center"/>
    </xf>
    <xf numFmtId="0" fontId="9" fillId="8" borderId="4" xfId="0" applyFont="1" applyFill="1" applyBorder="1" applyAlignment="1">
      <alignment horizontal="center" vertical="center"/>
    </xf>
    <xf numFmtId="0" fontId="9" fillId="8" borderId="5" xfId="0" applyFont="1" applyFill="1" applyBorder="1" applyAlignment="1">
      <alignment horizontal="center" vertical="center"/>
    </xf>
    <xf numFmtId="0" fontId="9" fillId="8" borderId="6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 vertical="center" wrapText="1"/>
    </xf>
    <xf numFmtId="0" fontId="11" fillId="8" borderId="4" xfId="0" applyFont="1" applyFill="1" applyBorder="1" applyAlignment="1">
      <alignment horizontal="center" vertical="center" wrapText="1"/>
    </xf>
    <xf numFmtId="0" fontId="11" fillId="8" borderId="5" xfId="0" applyFont="1" applyFill="1" applyBorder="1" applyAlignment="1">
      <alignment horizontal="center" vertical="center" wrapText="1"/>
    </xf>
    <xf numFmtId="0" fontId="11" fillId="8" borderId="6" xfId="0" applyFont="1" applyFill="1" applyBorder="1" applyAlignment="1">
      <alignment horizontal="center" vertical="center" wrapText="1"/>
    </xf>
    <xf numFmtId="0" fontId="11" fillId="8" borderId="7" xfId="0" applyFont="1" applyFill="1" applyBorder="1" applyAlignment="1">
      <alignment horizontal="center" vertical="center" wrapText="1"/>
    </xf>
    <xf numFmtId="0" fontId="11" fillId="8" borderId="8" xfId="0" applyFont="1" applyFill="1" applyBorder="1" applyAlignment="1">
      <alignment horizontal="center" vertical="center" wrapText="1"/>
    </xf>
    <xf numFmtId="0" fontId="17" fillId="8" borderId="3" xfId="0" applyFont="1" applyFill="1" applyBorder="1" applyAlignment="1">
      <alignment horizontal="center" vertical="center"/>
    </xf>
    <xf numFmtId="0" fontId="17" fillId="8" borderId="4" xfId="0" applyFont="1" applyFill="1" applyBorder="1" applyAlignment="1">
      <alignment horizontal="center" vertical="center"/>
    </xf>
    <xf numFmtId="0" fontId="17" fillId="8" borderId="5" xfId="0" applyFont="1" applyFill="1" applyBorder="1" applyAlignment="1">
      <alignment horizontal="center" vertical="center"/>
    </xf>
    <xf numFmtId="0" fontId="17" fillId="8" borderId="12" xfId="0" applyFont="1" applyFill="1" applyBorder="1" applyAlignment="1">
      <alignment horizontal="center" vertical="center"/>
    </xf>
    <xf numFmtId="0" fontId="17" fillId="8" borderId="0" xfId="0" applyFont="1" applyFill="1" applyAlignment="1">
      <alignment horizontal="center" vertical="center"/>
    </xf>
    <xf numFmtId="0" fontId="17" fillId="8" borderId="13" xfId="0" applyFont="1" applyFill="1" applyBorder="1" applyAlignment="1">
      <alignment horizontal="center" vertical="center"/>
    </xf>
    <xf numFmtId="0" fontId="17" fillId="8" borderId="6" xfId="0" applyFont="1" applyFill="1" applyBorder="1" applyAlignment="1">
      <alignment horizontal="center" vertical="center"/>
    </xf>
    <xf numFmtId="0" fontId="17" fillId="8" borderId="7" xfId="0" applyFont="1" applyFill="1" applyBorder="1" applyAlignment="1">
      <alignment horizontal="center" vertical="center"/>
    </xf>
    <xf numFmtId="0" fontId="17" fillId="8" borderId="8" xfId="0" applyFont="1" applyFill="1" applyBorder="1" applyAlignment="1">
      <alignment horizontal="center" vertical="center"/>
    </xf>
    <xf numFmtId="0" fontId="1" fillId="13" borderId="9" xfId="0" applyFont="1" applyFill="1" applyBorder="1" applyAlignment="1">
      <alignment horizontal="center" vertical="center"/>
    </xf>
    <xf numFmtId="0" fontId="1" fillId="13" borderId="10" xfId="0" applyFont="1" applyFill="1" applyBorder="1" applyAlignment="1">
      <alignment horizontal="center" vertical="center"/>
    </xf>
    <xf numFmtId="0" fontId="1" fillId="13" borderId="1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6" fillId="15" borderId="16" xfId="0" applyFont="1" applyFill="1" applyBorder="1" applyAlignment="1">
      <alignment horizontal="center" vertical="center"/>
    </xf>
    <xf numFmtId="0" fontId="16" fillId="15" borderId="19" xfId="0" applyFont="1" applyFill="1" applyBorder="1" applyAlignment="1">
      <alignment horizontal="center" vertical="center"/>
    </xf>
    <xf numFmtId="0" fontId="16" fillId="15" borderId="37" xfId="0" applyFont="1" applyFill="1" applyBorder="1" applyAlignment="1">
      <alignment horizontal="center" vertical="center"/>
    </xf>
    <xf numFmtId="0" fontId="16" fillId="15" borderId="36" xfId="0" applyFont="1" applyFill="1" applyBorder="1" applyAlignment="1">
      <alignment horizontal="center" vertical="center"/>
    </xf>
    <xf numFmtId="0" fontId="16" fillId="15" borderId="35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8" borderId="10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  PERFORMA PENGIRIMAN PER VENDOR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Dasbord!$BQ$19</c:f>
              <c:strCache>
                <c:ptCount val="1"/>
                <c:pt idx="0">
                  <c:v>Tepat Waktu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Dasbord!$BO$20:$BO$22</c:f>
              <c:strCache>
                <c:ptCount val="3"/>
                <c:pt idx="0">
                  <c:v>Vendor A</c:v>
                </c:pt>
                <c:pt idx="1">
                  <c:v>Vendor B</c:v>
                </c:pt>
                <c:pt idx="2">
                  <c:v>Vendor C</c:v>
                </c:pt>
              </c:strCache>
            </c:strRef>
          </c:cat>
          <c:val>
            <c:numRef>
              <c:f>Dasbord!$BQ$20:$BQ$22</c:f>
              <c:numCache>
                <c:formatCode>General</c:formatCode>
                <c:ptCount val="3"/>
                <c:pt idx="0">
                  <c:v>2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3B-4FA9-9E6F-8D8FFD10D560}"/>
            </c:ext>
          </c:extLst>
        </c:ser>
        <c:ser>
          <c:idx val="1"/>
          <c:order val="1"/>
          <c:tx>
            <c:strRef>
              <c:f>Dasbord!$BR$19</c:f>
              <c:strCache>
                <c:ptCount val="1"/>
                <c:pt idx="0">
                  <c:v>Total Pengiriman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Dasbord!$BO$20:$BO$22</c:f>
              <c:strCache>
                <c:ptCount val="3"/>
                <c:pt idx="0">
                  <c:v>Vendor A</c:v>
                </c:pt>
                <c:pt idx="1">
                  <c:v>Vendor B</c:v>
                </c:pt>
                <c:pt idx="2">
                  <c:v>Vendor C</c:v>
                </c:pt>
              </c:strCache>
            </c:strRef>
          </c:cat>
          <c:val>
            <c:numRef>
              <c:f>Dasbord!$BR$20:$BR$22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3B-4FA9-9E6F-8D8FFD10D56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5666848"/>
        <c:axId val="181178992"/>
      </c:barChart>
      <c:catAx>
        <c:axId val="215666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Vendor</a:t>
                </a:r>
                <a:r>
                  <a:rPr lang="en-US" baseline="0"/>
                  <a:t> yang diGunakan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39955042448015288"/>
              <c:y val="0.844128018386674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178992"/>
        <c:crosses val="autoZero"/>
        <c:auto val="1"/>
        <c:lblAlgn val="ctr"/>
        <c:lblOffset val="100"/>
        <c:noMultiLvlLbl val="0"/>
      </c:catAx>
      <c:valAx>
        <c:axId val="18117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  <a:r>
                  <a:rPr lang="en-US" baseline="0"/>
                  <a:t> Pengiriman dan Total </a:t>
                </a:r>
              </a:p>
              <a:p>
                <a:pPr>
                  <a:defRPr/>
                </a:pPr>
                <a:r>
                  <a:rPr lang="en-US" baseline="0"/>
                  <a:t>Pengiriman Tepat Waktu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6668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 SISA</a:t>
            </a:r>
            <a:r>
              <a:rPr lang="en-US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>
                <a:latin typeface="Times New Roman" panose="02020603050405020304" pitchFamily="18" charset="0"/>
                <a:cs typeface="Times New Roman" panose="02020603050405020304" pitchFamily="18" charset="0"/>
              </a:rPr>
              <a:t>STOK DI GUDANG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Dasbord!$BQ$29</c:f>
              <c:strCache>
                <c:ptCount val="1"/>
                <c:pt idx="0">
                  <c:v>Sisa Stok (kg)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Dasbord!$BP$30:$BP$32</c:f>
              <c:strCache>
                <c:ptCount val="3"/>
                <c:pt idx="0">
                  <c:v>K-1-PUTIH</c:v>
                </c:pt>
                <c:pt idx="1">
                  <c:v>K-1-HITAM</c:v>
                </c:pt>
                <c:pt idx="2">
                  <c:v>K-1-ABU-ABU</c:v>
                </c:pt>
              </c:strCache>
            </c:strRef>
          </c:cat>
          <c:val>
            <c:numRef>
              <c:f>Dasbord!$BQ$30:$BQ$32</c:f>
              <c:numCache>
                <c:formatCode>General</c:formatCode>
                <c:ptCount val="3"/>
                <c:pt idx="0">
                  <c:v>57</c:v>
                </c:pt>
                <c:pt idx="1">
                  <c:v>90</c:v>
                </c:pt>
                <c:pt idx="2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97-4184-89CE-5617D6DC526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01777824"/>
        <c:axId val="181178512"/>
      </c:barChart>
      <c:catAx>
        <c:axId val="3017778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Jenis IKain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178512"/>
        <c:crosses val="autoZero"/>
        <c:auto val="1"/>
        <c:lblAlgn val="ctr"/>
        <c:lblOffset val="100"/>
        <c:noMultiLvlLbl val="0"/>
      </c:catAx>
      <c:valAx>
        <c:axId val="181178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Stok diGudang (Kg)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177782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Dasbord!$BT$39</c:f>
              <c:strCache>
                <c:ptCount val="1"/>
                <c:pt idx="0">
                  <c:v>VPI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3AC-4C57-B650-7FE6A3BA904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3AC-4C57-B650-7FE6A3BA904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3AC-4C57-B650-7FE6A3BA904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Dasbord!$BP$40:$BP$42</c:f>
              <c:strCache>
                <c:ptCount val="3"/>
                <c:pt idx="0">
                  <c:v>Vendor A</c:v>
                </c:pt>
                <c:pt idx="1">
                  <c:v>Vendor B</c:v>
                </c:pt>
                <c:pt idx="2">
                  <c:v>Vendor C</c:v>
                </c:pt>
              </c:strCache>
            </c:strRef>
          </c:cat>
          <c:val>
            <c:numRef>
              <c:f>Dasbord!$BT$40:$BT$42</c:f>
              <c:numCache>
                <c:formatCode>0</c:formatCode>
                <c:ptCount val="3"/>
                <c:pt idx="0">
                  <c:v>74.2</c:v>
                </c:pt>
                <c:pt idx="1">
                  <c:v>99.726027397260282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DA-4669-821F-EED02648174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JUMLAH PESANAN PER VENDOR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Dasbord!$BQ$49</c:f>
              <c:strCache>
                <c:ptCount val="1"/>
                <c:pt idx="0">
                  <c:v>Total Pesanan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Dasbord!$BP$50:$BP$52</c:f>
              <c:strCache>
                <c:ptCount val="3"/>
                <c:pt idx="0">
                  <c:v>Vendor A</c:v>
                </c:pt>
                <c:pt idx="1">
                  <c:v>Vendor B</c:v>
                </c:pt>
                <c:pt idx="2">
                  <c:v>Vendor C</c:v>
                </c:pt>
              </c:strCache>
            </c:strRef>
          </c:cat>
          <c:val>
            <c:numRef>
              <c:f>Dasbord!$BQ$50:$BQ$52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A0-4B97-B581-EA1C52C1B5AC}"/>
            </c:ext>
          </c:extLst>
        </c:ser>
        <c:ser>
          <c:idx val="1"/>
          <c:order val="1"/>
          <c:tx>
            <c:strRef>
              <c:f>Dasbord!$BS$49</c:f>
              <c:strCache>
                <c:ptCount val="1"/>
                <c:pt idx="0">
                  <c:v>Return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Dasbord!$BP$50:$BP$52</c:f>
              <c:strCache>
                <c:ptCount val="3"/>
                <c:pt idx="0">
                  <c:v>Vendor A</c:v>
                </c:pt>
                <c:pt idx="1">
                  <c:v>Vendor B</c:v>
                </c:pt>
                <c:pt idx="2">
                  <c:v>Vendor C</c:v>
                </c:pt>
              </c:strCache>
            </c:strRef>
          </c:cat>
          <c:val>
            <c:numRef>
              <c:f>Dasbord!$BS$50:$BS$52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A0-4B97-B581-EA1C52C1B5A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24844288"/>
        <c:axId val="155696048"/>
      </c:barChart>
      <c:catAx>
        <c:axId val="3248442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Vendor yang diGunakan</a:t>
                </a:r>
              </a:p>
            </c:rich>
          </c:tx>
          <c:layout>
            <c:manualLayout>
              <c:xMode val="edge"/>
              <c:yMode val="edge"/>
              <c:x val="0.47057113375582726"/>
              <c:y val="0.8387252432527555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696048"/>
        <c:crosses val="autoZero"/>
        <c:auto val="1"/>
        <c:lblAlgn val="ctr"/>
        <c:lblOffset val="100"/>
        <c:noMultiLvlLbl val="0"/>
      </c:catAx>
      <c:valAx>
        <c:axId val="15569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  <a:r>
                  <a:rPr lang="en-US" baseline="0"/>
                  <a:t> Jumlah Pemesanan </a:t>
                </a:r>
              </a:p>
              <a:p>
                <a:pPr>
                  <a:defRPr/>
                </a:pPr>
                <a:r>
                  <a:rPr lang="en-US" baseline="0"/>
                  <a:t>dan Return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84428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250526</xdr:colOff>
      <xdr:row>46</xdr:row>
      <xdr:rowOff>24179</xdr:rowOff>
    </xdr:from>
    <xdr:to>
      <xdr:col>18</xdr:col>
      <xdr:colOff>570056</xdr:colOff>
      <xdr:row>62</xdr:row>
      <xdr:rowOff>28285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AC575FD-F72B-04AE-F20C-DDDD8DF31D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19456</xdr:colOff>
      <xdr:row>28</xdr:row>
      <xdr:rowOff>362053</xdr:rowOff>
    </xdr:from>
    <xdr:to>
      <xdr:col>18</xdr:col>
      <xdr:colOff>568614</xdr:colOff>
      <xdr:row>44</xdr:row>
      <xdr:rowOff>3484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4546337-2471-DDC2-30F7-A86EF623BB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48674</xdr:colOff>
      <xdr:row>28</xdr:row>
      <xdr:rowOff>154064</xdr:rowOff>
    </xdr:from>
    <xdr:to>
      <xdr:col>27</xdr:col>
      <xdr:colOff>290286</xdr:colOff>
      <xdr:row>42</xdr:row>
      <xdr:rowOff>135638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2CFBA20-5F6F-4A38-4A38-0EBE381684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597114</xdr:colOff>
      <xdr:row>46</xdr:row>
      <xdr:rowOff>93483</xdr:rowOff>
    </xdr:from>
    <xdr:to>
      <xdr:col>31</xdr:col>
      <xdr:colOff>415635</xdr:colOff>
      <xdr:row>62</xdr:row>
      <xdr:rowOff>61478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8D8322F0-2B97-08AD-1512-8051CF0BA0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9F936-292A-4B05-9A44-FDA761ECAFC0}">
  <dimension ref="B1:M16"/>
  <sheetViews>
    <sheetView zoomScale="70" zoomScaleNormal="70" workbookViewId="0">
      <selection activeCell="D19" sqref="D19"/>
    </sheetView>
  </sheetViews>
  <sheetFormatPr defaultColWidth="8.7109375" defaultRowHeight="15.75" x14ac:dyDescent="0.25"/>
  <cols>
    <col min="1" max="2" width="8.7109375" style="23"/>
    <col min="3" max="3" width="44.140625" style="23" customWidth="1"/>
    <col min="4" max="6" width="10.42578125" style="23" bestFit="1" customWidth="1"/>
    <col min="7" max="7" width="11.42578125" style="23" customWidth="1"/>
    <col min="8" max="11" width="10.42578125" style="23" bestFit="1" customWidth="1"/>
    <col min="12" max="12" width="9.85546875" style="23" bestFit="1" customWidth="1"/>
    <col min="13" max="13" width="43.140625" style="23" bestFit="1" customWidth="1"/>
    <col min="14" max="16384" width="8.7109375" style="23"/>
  </cols>
  <sheetData>
    <row r="1" spans="2:13" ht="16.5" thickBot="1" x14ac:dyDescent="0.3"/>
    <row r="2" spans="2:13" x14ac:dyDescent="0.25">
      <c r="C2" s="76" t="s">
        <v>133</v>
      </c>
      <c r="D2" s="77"/>
      <c r="E2" s="77"/>
      <c r="F2" s="77"/>
      <c r="G2" s="77"/>
      <c r="H2" s="77"/>
      <c r="I2" s="77"/>
      <c r="J2" s="77"/>
      <c r="K2" s="77"/>
      <c r="L2" s="78"/>
    </row>
    <row r="3" spans="2:13" ht="16.5" thickBot="1" x14ac:dyDescent="0.3">
      <c r="C3" s="79"/>
      <c r="D3" s="80"/>
      <c r="E3" s="80"/>
      <c r="F3" s="80"/>
      <c r="G3" s="80"/>
      <c r="H3" s="80"/>
      <c r="I3" s="80"/>
      <c r="J3" s="80"/>
      <c r="K3" s="80"/>
      <c r="L3" s="81"/>
    </row>
    <row r="6" spans="2:13" x14ac:dyDescent="0.25">
      <c r="B6" s="82" t="s">
        <v>59</v>
      </c>
      <c r="C6" s="82"/>
      <c r="D6" s="24" t="s">
        <v>254</v>
      </c>
      <c r="E6" s="24" t="s">
        <v>60</v>
      </c>
      <c r="F6" s="24" t="s">
        <v>61</v>
      </c>
      <c r="G6" s="24" t="s">
        <v>62</v>
      </c>
      <c r="H6" s="24" t="s">
        <v>85</v>
      </c>
      <c r="I6" s="24" t="s">
        <v>86</v>
      </c>
      <c r="J6" s="24" t="s">
        <v>87</v>
      </c>
      <c r="K6" s="24" t="s">
        <v>88</v>
      </c>
      <c r="L6" s="24" t="s">
        <v>63</v>
      </c>
      <c r="M6" s="24" t="s">
        <v>64</v>
      </c>
    </row>
    <row r="7" spans="2:13" ht="22.5" customHeight="1" x14ac:dyDescent="0.25">
      <c r="B7" s="83" t="s">
        <v>65</v>
      </c>
      <c r="C7" s="83"/>
      <c r="D7" s="26">
        <v>100</v>
      </c>
      <c r="E7" s="26">
        <v>100</v>
      </c>
      <c r="F7" s="26">
        <v>100</v>
      </c>
      <c r="G7" s="26">
        <v>100</v>
      </c>
      <c r="H7" s="26">
        <v>100</v>
      </c>
      <c r="I7" s="26">
        <v>100</v>
      </c>
      <c r="J7" s="26">
        <v>100</v>
      </c>
      <c r="K7" s="26">
        <v>100</v>
      </c>
      <c r="L7" s="25" t="s">
        <v>66</v>
      </c>
      <c r="M7" s="27" t="s">
        <v>67</v>
      </c>
    </row>
    <row r="8" spans="2:13" x14ac:dyDescent="0.25">
      <c r="B8" s="83" t="s">
        <v>68</v>
      </c>
      <c r="C8" s="83"/>
      <c r="D8" s="26">
        <f t="shared" ref="D8:K8" si="0">D7</f>
        <v>100</v>
      </c>
      <c r="E8" s="26">
        <f t="shared" si="0"/>
        <v>100</v>
      </c>
      <c r="F8" s="26">
        <f t="shared" si="0"/>
        <v>100</v>
      </c>
      <c r="G8" s="26">
        <f t="shared" si="0"/>
        <v>100</v>
      </c>
      <c r="H8" s="26">
        <f t="shared" si="0"/>
        <v>100</v>
      </c>
      <c r="I8" s="26">
        <f t="shared" si="0"/>
        <v>100</v>
      </c>
      <c r="J8" s="26">
        <f t="shared" si="0"/>
        <v>100</v>
      </c>
      <c r="K8" s="26">
        <f t="shared" si="0"/>
        <v>100</v>
      </c>
      <c r="L8" s="25" t="s">
        <v>66</v>
      </c>
      <c r="M8" s="27" t="s">
        <v>69</v>
      </c>
    </row>
    <row r="9" spans="2:13" x14ac:dyDescent="0.25">
      <c r="E9" s="28"/>
      <c r="F9" s="28"/>
      <c r="G9" s="28"/>
      <c r="H9" s="28"/>
      <c r="I9" s="28"/>
      <c r="J9" s="28"/>
      <c r="K9" s="28"/>
      <c r="L9" s="28"/>
    </row>
    <row r="10" spans="2:13" ht="45" customHeight="1" x14ac:dyDescent="0.25">
      <c r="B10" s="84" t="s">
        <v>255</v>
      </c>
      <c r="C10" s="84"/>
      <c r="D10" s="24" t="s">
        <v>89</v>
      </c>
      <c r="E10" s="24" t="s">
        <v>60</v>
      </c>
      <c r="F10" s="24" t="s">
        <v>61</v>
      </c>
      <c r="G10" s="24" t="s">
        <v>62</v>
      </c>
      <c r="H10" s="24" t="s">
        <v>85</v>
      </c>
      <c r="I10" s="24" t="s">
        <v>86</v>
      </c>
      <c r="J10" s="24" t="s">
        <v>87</v>
      </c>
      <c r="K10" s="24" t="s">
        <v>88</v>
      </c>
      <c r="L10" s="24" t="s">
        <v>63</v>
      </c>
      <c r="M10" s="24" t="s">
        <v>70</v>
      </c>
    </row>
    <row r="11" spans="2:13" ht="31.5" x14ac:dyDescent="0.25">
      <c r="B11" s="25" t="s">
        <v>71</v>
      </c>
      <c r="C11" s="27" t="s">
        <v>72</v>
      </c>
      <c r="D11" s="9"/>
      <c r="E11" s="9">
        <f>E8*0.5</f>
        <v>50</v>
      </c>
      <c r="F11" s="9">
        <f t="shared" ref="F11:K11" si="1">F8*0.5</f>
        <v>50</v>
      </c>
      <c r="G11" s="9">
        <f t="shared" si="1"/>
        <v>50</v>
      </c>
      <c r="H11" s="9">
        <f t="shared" si="1"/>
        <v>50</v>
      </c>
      <c r="I11" s="9">
        <f t="shared" si="1"/>
        <v>50</v>
      </c>
      <c r="J11" s="9">
        <f t="shared" si="1"/>
        <v>50</v>
      </c>
      <c r="K11" s="9">
        <f t="shared" si="1"/>
        <v>50</v>
      </c>
      <c r="L11" s="22" t="s">
        <v>73</v>
      </c>
      <c r="M11" s="27" t="s">
        <v>74</v>
      </c>
    </row>
    <row r="12" spans="2:13" ht="31.5" x14ac:dyDescent="0.25">
      <c r="B12" s="25" t="s">
        <v>75</v>
      </c>
      <c r="C12" s="27" t="s">
        <v>76</v>
      </c>
      <c r="D12" s="9"/>
      <c r="E12" s="9">
        <v>10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22" t="s">
        <v>73</v>
      </c>
      <c r="M12" s="27" t="s">
        <v>251</v>
      </c>
    </row>
    <row r="13" spans="2:13" ht="31.5" x14ac:dyDescent="0.25">
      <c r="B13" s="25" t="s">
        <v>77</v>
      </c>
      <c r="C13" s="27" t="s">
        <v>78</v>
      </c>
      <c r="D13" s="9">
        <v>20</v>
      </c>
      <c r="E13" s="9">
        <f t="shared" ref="E13:K13" si="2">D13+E12+E15-E11</f>
        <v>0</v>
      </c>
      <c r="F13" s="9">
        <f t="shared" si="2"/>
        <v>0</v>
      </c>
      <c r="G13" s="9">
        <f t="shared" si="2"/>
        <v>0</v>
      </c>
      <c r="H13" s="9">
        <f t="shared" si="2"/>
        <v>0</v>
      </c>
      <c r="I13" s="9">
        <f t="shared" si="2"/>
        <v>0</v>
      </c>
      <c r="J13" s="9">
        <f t="shared" si="2"/>
        <v>0</v>
      </c>
      <c r="K13" s="9">
        <f t="shared" si="2"/>
        <v>0</v>
      </c>
      <c r="L13" s="22" t="s">
        <v>73</v>
      </c>
      <c r="M13" s="27" t="s">
        <v>252</v>
      </c>
    </row>
    <row r="14" spans="2:13" ht="31.5" x14ac:dyDescent="0.25">
      <c r="B14" s="25" t="s">
        <v>79</v>
      </c>
      <c r="C14" s="27" t="s">
        <v>80</v>
      </c>
      <c r="D14" s="9"/>
      <c r="E14" s="9">
        <f t="shared" ref="E14:K14" si="3">MAX(0,E11-(D13+E12))</f>
        <v>20</v>
      </c>
      <c r="F14" s="9">
        <f t="shared" si="3"/>
        <v>50</v>
      </c>
      <c r="G14" s="9">
        <f t="shared" si="3"/>
        <v>50</v>
      </c>
      <c r="H14" s="9">
        <f t="shared" si="3"/>
        <v>50</v>
      </c>
      <c r="I14" s="9">
        <f t="shared" si="3"/>
        <v>50</v>
      </c>
      <c r="J14" s="9">
        <f t="shared" si="3"/>
        <v>50</v>
      </c>
      <c r="K14" s="9">
        <f t="shared" si="3"/>
        <v>50</v>
      </c>
      <c r="L14" s="22" t="s">
        <v>73</v>
      </c>
      <c r="M14" s="27" t="s">
        <v>249</v>
      </c>
    </row>
    <row r="15" spans="2:13" ht="31.5" x14ac:dyDescent="0.25">
      <c r="B15" s="25" t="s">
        <v>81</v>
      </c>
      <c r="C15" s="27" t="s">
        <v>82</v>
      </c>
      <c r="D15" s="9"/>
      <c r="E15" s="9">
        <f>D16</f>
        <v>20</v>
      </c>
      <c r="F15" s="9">
        <f>E16</f>
        <v>50</v>
      </c>
      <c r="G15" s="9">
        <f t="shared" ref="G15:K15" si="4">F16</f>
        <v>50</v>
      </c>
      <c r="H15" s="9">
        <f t="shared" si="4"/>
        <v>50</v>
      </c>
      <c r="I15" s="9">
        <f t="shared" si="4"/>
        <v>50</v>
      </c>
      <c r="J15" s="9">
        <f t="shared" si="4"/>
        <v>50</v>
      </c>
      <c r="K15" s="9">
        <f t="shared" si="4"/>
        <v>50</v>
      </c>
      <c r="L15" s="29" t="s">
        <v>73</v>
      </c>
      <c r="M15" s="27" t="s">
        <v>250</v>
      </c>
    </row>
    <row r="16" spans="2:13" ht="31.5" x14ac:dyDescent="0.25">
      <c r="B16" s="25" t="s">
        <v>83</v>
      </c>
      <c r="C16" s="27" t="s">
        <v>84</v>
      </c>
      <c r="D16" s="9">
        <f>E14</f>
        <v>20</v>
      </c>
      <c r="E16" s="9">
        <f t="shared" ref="E16:J16" si="5">F14</f>
        <v>50</v>
      </c>
      <c r="F16" s="9">
        <f t="shared" si="5"/>
        <v>50</v>
      </c>
      <c r="G16" s="9">
        <f t="shared" si="5"/>
        <v>50</v>
      </c>
      <c r="H16" s="9">
        <f t="shared" si="5"/>
        <v>50</v>
      </c>
      <c r="I16" s="9">
        <f t="shared" si="5"/>
        <v>50</v>
      </c>
      <c r="J16" s="9">
        <f t="shared" si="5"/>
        <v>50</v>
      </c>
      <c r="K16" s="9">
        <v>0</v>
      </c>
      <c r="L16" s="22" t="s">
        <v>73</v>
      </c>
      <c r="M16" s="27" t="s">
        <v>253</v>
      </c>
    </row>
  </sheetData>
  <mergeCells count="5">
    <mergeCell ref="C2:L3"/>
    <mergeCell ref="B6:C6"/>
    <mergeCell ref="B7:C7"/>
    <mergeCell ref="B8:C8"/>
    <mergeCell ref="B10:C10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B1EEE-8D2C-462F-98EF-DFD285E51E4E}">
  <dimension ref="B1:N94"/>
  <sheetViews>
    <sheetView topLeftCell="A61" zoomScale="70" zoomScaleNormal="70" workbookViewId="0">
      <selection activeCell="I94" sqref="I94"/>
    </sheetView>
  </sheetViews>
  <sheetFormatPr defaultColWidth="8.7109375" defaultRowHeight="15.75" x14ac:dyDescent="0.25"/>
  <cols>
    <col min="1" max="1" width="8.7109375" style="2"/>
    <col min="2" max="2" width="15.5703125" style="2" bestFit="1" customWidth="1"/>
    <col min="3" max="3" width="14" style="2" bestFit="1" customWidth="1"/>
    <col min="4" max="4" width="15.7109375" style="2" bestFit="1" customWidth="1"/>
    <col min="5" max="5" width="20.85546875" style="2" customWidth="1"/>
    <col min="6" max="6" width="19.5703125" style="2" customWidth="1"/>
    <col min="7" max="7" width="15.5703125" style="2" bestFit="1" customWidth="1"/>
    <col min="8" max="8" width="8.7109375" style="2"/>
    <col min="9" max="9" width="31.42578125" style="2" customWidth="1"/>
    <col min="10" max="16384" width="8.7109375" style="2"/>
  </cols>
  <sheetData>
    <row r="1" spans="2:13" ht="16.5" thickBot="1" x14ac:dyDescent="0.3"/>
    <row r="2" spans="2:13" x14ac:dyDescent="0.25">
      <c r="C2" s="42"/>
      <c r="D2" s="134" t="s">
        <v>235</v>
      </c>
      <c r="E2" s="135"/>
      <c r="F2" s="135"/>
      <c r="G2" s="135"/>
      <c r="H2" s="135"/>
      <c r="I2" s="136"/>
    </row>
    <row r="3" spans="2:13" ht="16.5" thickBot="1" x14ac:dyDescent="0.3">
      <c r="C3" s="42"/>
      <c r="D3" s="137"/>
      <c r="E3" s="138"/>
      <c r="F3" s="138"/>
      <c r="G3" s="138"/>
      <c r="H3" s="138"/>
      <c r="I3" s="139"/>
    </row>
    <row r="4" spans="2:13" ht="16.5" thickBot="1" x14ac:dyDescent="0.3">
      <c r="C4" s="42"/>
      <c r="D4" s="42"/>
      <c r="E4" s="42"/>
      <c r="F4" s="42"/>
      <c r="G4" s="42"/>
    </row>
    <row r="5" spans="2:13" x14ac:dyDescent="0.25">
      <c r="D5" s="140" t="s">
        <v>256</v>
      </c>
      <c r="E5" s="141"/>
      <c r="F5" s="142"/>
    </row>
    <row r="6" spans="2:13" ht="16.5" thickBot="1" x14ac:dyDescent="0.3">
      <c r="D6" s="143"/>
      <c r="E6" s="144"/>
      <c r="F6" s="145"/>
    </row>
    <row r="7" spans="2:13" ht="15.95" customHeight="1" x14ac:dyDescent="0.25"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</row>
    <row r="8" spans="2:13" ht="47.25" x14ac:dyDescent="0.25">
      <c r="C8" s="18" t="s">
        <v>110</v>
      </c>
      <c r="D8" s="18" t="s">
        <v>139</v>
      </c>
      <c r="E8" s="18" t="s">
        <v>34</v>
      </c>
      <c r="F8" s="18" t="s">
        <v>140</v>
      </c>
      <c r="G8" s="18" t="s">
        <v>141</v>
      </c>
    </row>
    <row r="9" spans="2:13" x14ac:dyDescent="0.25">
      <c r="C9" s="41" t="s">
        <v>111</v>
      </c>
      <c r="D9" s="41" t="s">
        <v>142</v>
      </c>
      <c r="E9" s="41">
        <v>2</v>
      </c>
      <c r="F9" s="41">
        <v>0</v>
      </c>
      <c r="G9" s="41">
        <v>1</v>
      </c>
      <c r="I9" s="2" t="s">
        <v>140</v>
      </c>
    </row>
    <row r="10" spans="2:13" x14ac:dyDescent="0.25">
      <c r="C10" s="41" t="s">
        <v>112</v>
      </c>
      <c r="D10" s="41" t="s">
        <v>39</v>
      </c>
      <c r="E10" s="41">
        <v>3</v>
      </c>
      <c r="F10" s="41">
        <v>0</v>
      </c>
      <c r="G10" s="41">
        <v>1</v>
      </c>
      <c r="I10" s="2" t="s">
        <v>141</v>
      </c>
    </row>
    <row r="11" spans="2:13" x14ac:dyDescent="0.25">
      <c r="C11" s="41" t="s">
        <v>113</v>
      </c>
      <c r="D11" s="41" t="s">
        <v>143</v>
      </c>
      <c r="E11" s="41">
        <v>5</v>
      </c>
      <c r="F11" s="41">
        <v>0</v>
      </c>
      <c r="G11" s="41">
        <v>1</v>
      </c>
    </row>
    <row r="12" spans="2:13" x14ac:dyDescent="0.25">
      <c r="C12" s="41" t="s">
        <v>114</v>
      </c>
      <c r="D12" s="41" t="s">
        <v>144</v>
      </c>
      <c r="E12" s="41">
        <v>8</v>
      </c>
      <c r="F12" s="41">
        <v>0</v>
      </c>
      <c r="G12" s="41">
        <v>1</v>
      </c>
    </row>
    <row r="13" spans="2:13" x14ac:dyDescent="0.25">
      <c r="C13" s="41" t="s">
        <v>115</v>
      </c>
      <c r="D13" s="41" t="s">
        <v>145</v>
      </c>
      <c r="E13" s="41">
        <v>13</v>
      </c>
      <c r="F13" s="41">
        <v>1</v>
      </c>
      <c r="G13" s="41">
        <v>2</v>
      </c>
    </row>
    <row r="14" spans="2:13" x14ac:dyDescent="0.25">
      <c r="C14" s="41" t="s">
        <v>116</v>
      </c>
      <c r="D14" s="41" t="s">
        <v>146</v>
      </c>
      <c r="E14" s="41">
        <v>20</v>
      </c>
      <c r="F14" s="41">
        <v>1</v>
      </c>
      <c r="G14" s="41">
        <v>2</v>
      </c>
    </row>
    <row r="15" spans="2:13" x14ac:dyDescent="0.25">
      <c r="C15" s="41" t="s">
        <v>117</v>
      </c>
      <c r="D15" s="41" t="s">
        <v>40</v>
      </c>
      <c r="E15" s="41">
        <v>32</v>
      </c>
      <c r="F15" s="41">
        <v>2</v>
      </c>
      <c r="G15" s="41">
        <v>3</v>
      </c>
    </row>
    <row r="16" spans="2:13" x14ac:dyDescent="0.25">
      <c r="C16" s="41" t="s">
        <v>118</v>
      </c>
      <c r="D16" s="41" t="s">
        <v>147</v>
      </c>
      <c r="E16" s="41">
        <v>50</v>
      </c>
      <c r="F16" s="41">
        <v>3</v>
      </c>
      <c r="G16" s="41">
        <v>4</v>
      </c>
    </row>
    <row r="17" spans="3:9" x14ac:dyDescent="0.25">
      <c r="C17" s="41" t="s">
        <v>119</v>
      </c>
      <c r="D17" s="41" t="s">
        <v>148</v>
      </c>
      <c r="E17" s="41">
        <v>80</v>
      </c>
      <c r="F17" s="41">
        <v>5</v>
      </c>
      <c r="G17" s="41">
        <v>6</v>
      </c>
    </row>
    <row r="18" spans="3:9" x14ac:dyDescent="0.25">
      <c r="C18" s="41" t="s">
        <v>120</v>
      </c>
      <c r="D18" s="41" t="s">
        <v>149</v>
      </c>
      <c r="E18" s="41">
        <v>125</v>
      </c>
      <c r="F18" s="41">
        <v>7</v>
      </c>
      <c r="G18" s="41">
        <v>8</v>
      </c>
      <c r="I18" s="2" t="s">
        <v>259</v>
      </c>
    </row>
    <row r="19" spans="3:9" ht="31.5" x14ac:dyDescent="0.25">
      <c r="C19" s="41" t="s">
        <v>121</v>
      </c>
      <c r="D19" s="41" t="s">
        <v>150</v>
      </c>
      <c r="E19" s="41">
        <v>200</v>
      </c>
      <c r="F19" s="41">
        <v>10</v>
      </c>
      <c r="G19" s="41">
        <v>11</v>
      </c>
    </row>
    <row r="22" spans="3:9" ht="16.5" thickBot="1" x14ac:dyDescent="0.3"/>
    <row r="23" spans="3:9" x14ac:dyDescent="0.25">
      <c r="C23" s="140" t="s">
        <v>247</v>
      </c>
      <c r="D23" s="141"/>
      <c r="E23" s="142"/>
    </row>
    <row r="24" spans="3:9" ht="16.5" thickBot="1" x14ac:dyDescent="0.3">
      <c r="C24" s="143"/>
      <c r="D24" s="144"/>
      <c r="E24" s="145"/>
    </row>
    <row r="26" spans="3:9" ht="31.5" x14ac:dyDescent="0.25">
      <c r="C26" s="43" t="s">
        <v>151</v>
      </c>
      <c r="D26" s="43" t="s">
        <v>152</v>
      </c>
      <c r="E26" s="43" t="s">
        <v>64</v>
      </c>
      <c r="F26" s="43" t="s">
        <v>153</v>
      </c>
    </row>
    <row r="27" spans="3:9" ht="47.25" x14ac:dyDescent="0.25">
      <c r="C27" s="25" t="s">
        <v>154</v>
      </c>
      <c r="D27" s="25" t="s">
        <v>156</v>
      </c>
      <c r="E27" s="25" t="s">
        <v>155</v>
      </c>
      <c r="F27" s="25" t="s">
        <v>157</v>
      </c>
    </row>
    <row r="28" spans="3:9" ht="63" x14ac:dyDescent="0.25">
      <c r="C28" s="25" t="s">
        <v>158</v>
      </c>
      <c r="D28" s="25" t="s">
        <v>160</v>
      </c>
      <c r="E28" s="25" t="s">
        <v>159</v>
      </c>
      <c r="F28" s="25" t="s">
        <v>161</v>
      </c>
    </row>
    <row r="29" spans="3:9" ht="63" x14ac:dyDescent="0.25">
      <c r="C29" s="25" t="s">
        <v>162</v>
      </c>
      <c r="D29" s="25" t="s">
        <v>164</v>
      </c>
      <c r="E29" s="25" t="s">
        <v>163</v>
      </c>
      <c r="F29" s="25" t="s">
        <v>165</v>
      </c>
    </row>
    <row r="30" spans="3:9" x14ac:dyDescent="0.25">
      <c r="C30"/>
      <c r="D30"/>
      <c r="E30"/>
      <c r="F30"/>
    </row>
    <row r="32" spans="3:9" ht="16.5" thickBot="1" x14ac:dyDescent="0.3"/>
    <row r="33" spans="3:6" x14ac:dyDescent="0.25">
      <c r="C33" s="140" t="s">
        <v>257</v>
      </c>
      <c r="D33" s="141"/>
      <c r="E33" s="142"/>
    </row>
    <row r="34" spans="3:6" ht="16.5" thickBot="1" x14ac:dyDescent="0.3">
      <c r="C34" s="143"/>
      <c r="D34" s="144"/>
      <c r="E34" s="145"/>
    </row>
    <row r="35" spans="3:6" ht="16.5" thickBot="1" x14ac:dyDescent="0.3"/>
    <row r="36" spans="3:6" ht="16.5" thickBot="1" x14ac:dyDescent="0.3">
      <c r="C36" s="44" t="s">
        <v>166</v>
      </c>
      <c r="D36" s="45" t="s">
        <v>236</v>
      </c>
      <c r="E36" s="45" t="s">
        <v>236</v>
      </c>
    </row>
    <row r="37" spans="3:6" ht="32.25" thickBot="1" x14ac:dyDescent="0.3">
      <c r="C37" s="46" t="s">
        <v>237</v>
      </c>
      <c r="D37" s="47" t="s">
        <v>238</v>
      </c>
      <c r="E37" s="47" t="s">
        <v>239</v>
      </c>
    </row>
    <row r="38" spans="3:6" ht="32.25" thickBot="1" x14ac:dyDescent="0.3">
      <c r="C38" s="46" t="s">
        <v>168</v>
      </c>
      <c r="D38" s="47" t="s">
        <v>169</v>
      </c>
      <c r="E38" s="47" t="s">
        <v>170</v>
      </c>
    </row>
    <row r="39" spans="3:6" ht="32.25" thickBot="1" x14ac:dyDescent="0.3">
      <c r="C39" s="46" t="s">
        <v>171</v>
      </c>
      <c r="D39" s="47" t="s">
        <v>172</v>
      </c>
      <c r="E39" s="47" t="s">
        <v>173</v>
      </c>
    </row>
    <row r="40" spans="3:6" ht="32.25" thickBot="1" x14ac:dyDescent="0.3">
      <c r="C40" s="46" t="s">
        <v>175</v>
      </c>
      <c r="D40" s="47" t="s">
        <v>176</v>
      </c>
      <c r="E40" s="47" t="s">
        <v>223</v>
      </c>
    </row>
    <row r="41" spans="3:6" ht="32.25" thickBot="1" x14ac:dyDescent="0.3">
      <c r="C41" s="46" t="s">
        <v>167</v>
      </c>
      <c r="D41" s="47" t="s">
        <v>39</v>
      </c>
      <c r="E41" s="47" t="s">
        <v>240</v>
      </c>
    </row>
    <row r="42" spans="3:6" ht="32.25" thickBot="1" x14ac:dyDescent="0.3">
      <c r="C42" s="46" t="s">
        <v>34</v>
      </c>
      <c r="D42" s="47" t="s">
        <v>241</v>
      </c>
      <c r="E42" s="47" t="s">
        <v>242</v>
      </c>
    </row>
    <row r="43" spans="3:6" ht="32.25" thickBot="1" x14ac:dyDescent="0.3">
      <c r="C43" s="46" t="s">
        <v>174</v>
      </c>
      <c r="D43" s="47">
        <v>0</v>
      </c>
      <c r="E43" s="47" t="s">
        <v>243</v>
      </c>
    </row>
    <row r="44" spans="3:6" ht="32.25" thickBot="1" x14ac:dyDescent="0.3">
      <c r="C44" s="46" t="s">
        <v>177</v>
      </c>
      <c r="D44" s="47">
        <v>1</v>
      </c>
      <c r="E44" s="47" t="s">
        <v>244</v>
      </c>
    </row>
    <row r="47" spans="3:6" ht="16.5" thickBot="1" x14ac:dyDescent="0.3"/>
    <row r="48" spans="3:6" x14ac:dyDescent="0.25">
      <c r="D48" s="140" t="s">
        <v>258</v>
      </c>
      <c r="E48" s="141"/>
      <c r="F48" s="142"/>
    </row>
    <row r="49" spans="3:14" ht="16.5" thickBot="1" x14ac:dyDescent="0.3">
      <c r="D49" s="143"/>
      <c r="E49" s="144"/>
      <c r="F49" s="145"/>
    </row>
    <row r="51" spans="3:14" ht="31.5" x14ac:dyDescent="0.25">
      <c r="C51" s="24" t="s">
        <v>178</v>
      </c>
      <c r="D51" s="24" t="s">
        <v>179</v>
      </c>
      <c r="E51" s="24" t="s">
        <v>180</v>
      </c>
      <c r="F51" s="24" t="s">
        <v>181</v>
      </c>
      <c r="G51" s="84" t="s">
        <v>182</v>
      </c>
      <c r="H51" s="84"/>
    </row>
    <row r="52" spans="3:14" ht="31.5" x14ac:dyDescent="0.25">
      <c r="C52" s="25" t="s">
        <v>183</v>
      </c>
      <c r="D52" s="25" t="s">
        <v>184</v>
      </c>
      <c r="E52" s="25" t="s">
        <v>54</v>
      </c>
      <c r="F52" s="25" t="s">
        <v>54</v>
      </c>
      <c r="G52" s="83" t="s">
        <v>186</v>
      </c>
      <c r="H52" s="83"/>
    </row>
    <row r="53" spans="3:14" x14ac:dyDescent="0.25">
      <c r="C53" s="25" t="s">
        <v>187</v>
      </c>
      <c r="D53" s="25" t="s">
        <v>188</v>
      </c>
      <c r="E53" s="25" t="s">
        <v>189</v>
      </c>
      <c r="F53" s="25" t="s">
        <v>190</v>
      </c>
      <c r="G53" s="83" t="s">
        <v>191</v>
      </c>
      <c r="H53" s="83"/>
    </row>
    <row r="54" spans="3:14" x14ac:dyDescent="0.25">
      <c r="C54" s="25" t="s">
        <v>192</v>
      </c>
      <c r="D54" s="25" t="s">
        <v>193</v>
      </c>
      <c r="E54" s="25" t="s">
        <v>194</v>
      </c>
      <c r="F54" s="25" t="s">
        <v>195</v>
      </c>
      <c r="G54" s="83" t="s">
        <v>196</v>
      </c>
      <c r="H54" s="83"/>
    </row>
    <row r="55" spans="3:14" ht="47.25" x14ac:dyDescent="0.25">
      <c r="C55" s="25" t="s">
        <v>197</v>
      </c>
      <c r="D55" s="25" t="s">
        <v>198</v>
      </c>
      <c r="E55" s="25" t="s">
        <v>185</v>
      </c>
      <c r="F55" s="25" t="s">
        <v>185</v>
      </c>
      <c r="G55" s="83" t="s">
        <v>199</v>
      </c>
      <c r="H55" s="83"/>
    </row>
    <row r="56" spans="3:14" ht="31.5" x14ac:dyDescent="0.25">
      <c r="C56" s="25" t="s">
        <v>200</v>
      </c>
      <c r="D56" s="25" t="s">
        <v>201</v>
      </c>
      <c r="E56" s="25" t="s">
        <v>202</v>
      </c>
      <c r="F56" s="25" t="s">
        <v>185</v>
      </c>
      <c r="G56" s="83" t="s">
        <v>203</v>
      </c>
      <c r="H56" s="83"/>
    </row>
    <row r="57" spans="3:14" ht="47.25" x14ac:dyDescent="0.25">
      <c r="C57" s="25" t="s">
        <v>204</v>
      </c>
      <c r="D57" s="25" t="s">
        <v>205</v>
      </c>
      <c r="E57" s="25" t="s">
        <v>185</v>
      </c>
      <c r="F57" s="25" t="s">
        <v>185</v>
      </c>
      <c r="G57" s="83" t="s">
        <v>206</v>
      </c>
      <c r="H57" s="83"/>
    </row>
    <row r="60" spans="3:14" x14ac:dyDescent="0.25">
      <c r="I60" s="2" t="s">
        <v>260</v>
      </c>
    </row>
    <row r="61" spans="3:14" ht="16.5" thickBot="1" x14ac:dyDescent="0.3"/>
    <row r="62" spans="3:14" x14ac:dyDescent="0.25">
      <c r="D62" s="134" t="s">
        <v>248</v>
      </c>
      <c r="E62" s="135"/>
      <c r="F62" s="135"/>
      <c r="G62" s="135"/>
      <c r="H62" s="136"/>
    </row>
    <row r="63" spans="3:14" ht="16.5" thickBot="1" x14ac:dyDescent="0.3">
      <c r="D63" s="137"/>
      <c r="E63" s="138"/>
      <c r="F63" s="138"/>
      <c r="G63" s="138"/>
      <c r="H63" s="139"/>
    </row>
    <row r="64" spans="3:14" ht="16.5" thickBot="1" x14ac:dyDescent="0.3"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</row>
    <row r="65" spans="3:9" ht="15.95" customHeight="1" thickBot="1" x14ac:dyDescent="0.3">
      <c r="C65" s="128" t="s">
        <v>207</v>
      </c>
      <c r="D65" s="129"/>
      <c r="E65" s="129"/>
      <c r="F65" s="129"/>
      <c r="G65" s="129"/>
      <c r="H65" s="129"/>
      <c r="I65" s="130"/>
    </row>
    <row r="66" spans="3:9" x14ac:dyDescent="0.25">
      <c r="C66" s="93" t="s">
        <v>208</v>
      </c>
      <c r="D66" s="94"/>
      <c r="E66" s="95"/>
      <c r="F66" s="96" t="s">
        <v>209</v>
      </c>
      <c r="G66" s="97"/>
      <c r="H66" s="97"/>
      <c r="I66" s="98"/>
    </row>
    <row r="67" spans="3:9" x14ac:dyDescent="0.25">
      <c r="C67" s="85" t="s">
        <v>210</v>
      </c>
      <c r="D67" s="86"/>
      <c r="E67" s="87"/>
      <c r="F67" s="99">
        <f ca="1">TODAY()</f>
        <v>46220</v>
      </c>
      <c r="G67" s="100"/>
      <c r="H67" s="100"/>
      <c r="I67" s="101"/>
    </row>
    <row r="68" spans="3:9" x14ac:dyDescent="0.25">
      <c r="C68" s="85" t="s">
        <v>3</v>
      </c>
      <c r="D68" s="86"/>
      <c r="E68" s="87"/>
      <c r="F68" s="88" t="s">
        <v>211</v>
      </c>
      <c r="G68" s="89"/>
      <c r="H68" s="89"/>
      <c r="I68" s="90"/>
    </row>
    <row r="69" spans="3:9" ht="15.6" customHeight="1" x14ac:dyDescent="0.25">
      <c r="C69" s="85" t="s">
        <v>212</v>
      </c>
      <c r="D69" s="86"/>
      <c r="E69" s="87"/>
      <c r="F69" s="88" t="s">
        <v>213</v>
      </c>
      <c r="G69" s="89"/>
      <c r="H69" s="89"/>
      <c r="I69" s="90"/>
    </row>
    <row r="70" spans="3:9" ht="15.6" customHeight="1" x14ac:dyDescent="0.25">
      <c r="C70" s="85" t="s">
        <v>214</v>
      </c>
      <c r="D70" s="86"/>
      <c r="E70" s="87"/>
      <c r="F70" s="91">
        <v>15</v>
      </c>
      <c r="G70" s="83"/>
      <c r="H70" s="86" t="s">
        <v>215</v>
      </c>
      <c r="I70" s="92"/>
    </row>
    <row r="71" spans="3:9" x14ac:dyDescent="0.25">
      <c r="C71" s="85" t="s">
        <v>216</v>
      </c>
      <c r="D71" s="86"/>
      <c r="E71" s="87"/>
      <c r="F71" s="91">
        <v>75000</v>
      </c>
      <c r="G71" s="83"/>
      <c r="H71" s="86" t="s">
        <v>217</v>
      </c>
      <c r="I71" s="92"/>
    </row>
    <row r="72" spans="3:9" ht="16.5" thickBot="1" x14ac:dyDescent="0.3">
      <c r="C72" s="103" t="s">
        <v>218</v>
      </c>
      <c r="D72" s="104"/>
      <c r="E72" s="105"/>
      <c r="F72" s="106">
        <f>F70*F71</f>
        <v>1125000</v>
      </c>
      <c r="G72" s="107"/>
      <c r="H72" s="107"/>
      <c r="I72" s="108"/>
    </row>
    <row r="73" spans="3:9" ht="15.6" customHeight="1" thickBot="1" x14ac:dyDescent="0.3">
      <c r="C73" s="128" t="s">
        <v>219</v>
      </c>
      <c r="D73" s="129"/>
      <c r="E73" s="129"/>
      <c r="F73" s="129"/>
      <c r="G73" s="129"/>
      <c r="H73" s="129"/>
      <c r="I73" s="130"/>
    </row>
    <row r="74" spans="3:9" ht="15.6" customHeight="1" x14ac:dyDescent="0.25">
      <c r="C74" s="93" t="s">
        <v>220</v>
      </c>
      <c r="D74" s="94"/>
      <c r="E74" s="102"/>
      <c r="F74" s="96" t="s">
        <v>221</v>
      </c>
      <c r="G74" s="97"/>
      <c r="H74" s="97"/>
      <c r="I74" s="98"/>
    </row>
    <row r="75" spans="3:9" ht="15.6" customHeight="1" x14ac:dyDescent="0.25">
      <c r="C75" s="85" t="s">
        <v>175</v>
      </c>
      <c r="D75" s="86"/>
      <c r="E75" s="92"/>
      <c r="F75" s="88" t="s">
        <v>222</v>
      </c>
      <c r="G75" s="89"/>
      <c r="H75" s="89"/>
      <c r="I75" s="90"/>
    </row>
    <row r="76" spans="3:9" x14ac:dyDescent="0.25">
      <c r="C76" s="85" t="s">
        <v>168</v>
      </c>
      <c r="D76" s="86"/>
      <c r="E76" s="92"/>
      <c r="F76" s="88" t="s">
        <v>224</v>
      </c>
      <c r="G76" s="89"/>
      <c r="H76" s="89"/>
      <c r="I76" s="90"/>
    </row>
    <row r="77" spans="3:9" ht="15.95" customHeight="1" thickBot="1" x14ac:dyDescent="0.3">
      <c r="C77" s="103" t="s">
        <v>225</v>
      </c>
      <c r="D77" s="104"/>
      <c r="E77" s="127"/>
      <c r="F77" s="131" t="str">
        <f>IF(F70&lt;=8,"Kode A: n=2, Ac=0, Re=1",IF(F70&lt;=15,"Kode B: n=3, Ac=0, Re=1",IF(F70&lt;=25,"Kode C: n=5, Ac=0, Re=1",IF(F70&lt;=50,"Kode D: n=8, Ac=0, Re=1",IF(F70&lt;=90,"Kode E: n=13, Ac=1, Re=2",IF(F70&lt;=150,"Kode F: n=20, Ac=1, Re=2",IF(F70&lt;=280,"Kode G: n=32, Ac=2, Re=3",IF(F70&lt;=500,"Kode H: n=50, Ac=3, Re=4",IF(F70&lt;=1200,"Kode J: n=80, Ac=5, Re=6",IF(F70&lt;=3200,"Kode K: n=125, Ac=7, Re=8","Kode L: n=200, Ac=10, Re=11"))))))))))</f>
        <v>Kode B: n=3, Ac=0, Re=1</v>
      </c>
      <c r="G77" s="132"/>
      <c r="H77" s="132"/>
      <c r="I77" s="133"/>
    </row>
    <row r="78" spans="3:9" ht="15.6" customHeight="1" thickBot="1" x14ac:dyDescent="0.3">
      <c r="C78" s="128" t="s">
        <v>226</v>
      </c>
      <c r="D78" s="129"/>
      <c r="E78" s="129"/>
      <c r="F78" s="129"/>
      <c r="G78" s="129"/>
      <c r="H78" s="129"/>
      <c r="I78" s="130"/>
    </row>
    <row r="79" spans="3:9" x14ac:dyDescent="0.25">
      <c r="C79" s="93" t="s">
        <v>187</v>
      </c>
      <c r="D79" s="94"/>
      <c r="E79" s="102"/>
      <c r="F79" s="93" t="s">
        <v>227</v>
      </c>
      <c r="G79" s="102"/>
      <c r="H79" s="93" t="s">
        <v>228</v>
      </c>
      <c r="I79" s="102"/>
    </row>
    <row r="80" spans="3:9" x14ac:dyDescent="0.25">
      <c r="C80" s="85" t="s">
        <v>192</v>
      </c>
      <c r="D80" s="86"/>
      <c r="E80" s="92"/>
      <c r="F80" s="85" t="s">
        <v>229</v>
      </c>
      <c r="G80" s="92"/>
      <c r="H80" s="85" t="s">
        <v>230</v>
      </c>
      <c r="I80" s="92"/>
    </row>
    <row r="81" spans="3:14" x14ac:dyDescent="0.25">
      <c r="C81" s="85" t="s">
        <v>197</v>
      </c>
      <c r="D81" s="86"/>
      <c r="E81" s="92"/>
      <c r="F81" s="85" t="s">
        <v>198</v>
      </c>
      <c r="G81" s="92"/>
      <c r="H81" s="85" t="s">
        <v>231</v>
      </c>
      <c r="I81" s="92"/>
    </row>
    <row r="82" spans="3:14" ht="16.5" thickBot="1" x14ac:dyDescent="0.3">
      <c r="C82" s="103" t="s">
        <v>204</v>
      </c>
      <c r="D82" s="104"/>
      <c r="E82" s="127"/>
      <c r="F82" s="103" t="s">
        <v>232</v>
      </c>
      <c r="G82" s="127"/>
      <c r="H82" s="103" t="s">
        <v>233</v>
      </c>
      <c r="I82" s="127"/>
    </row>
    <row r="83" spans="3:14" ht="15.6" customHeight="1" thickBot="1" x14ac:dyDescent="0.3">
      <c r="C83" s="128" t="s">
        <v>234</v>
      </c>
      <c r="D83" s="129"/>
      <c r="E83" s="129"/>
      <c r="F83" s="129"/>
      <c r="G83" s="129"/>
      <c r="H83" s="129"/>
      <c r="I83" s="130"/>
    </row>
    <row r="84" spans="3:14" ht="15.6" customHeight="1" x14ac:dyDescent="0.25">
      <c r="C84" s="109" t="s">
        <v>245</v>
      </c>
      <c r="D84" s="110"/>
      <c r="E84" s="111"/>
      <c r="F84" s="118" t="s">
        <v>246</v>
      </c>
      <c r="G84" s="119"/>
      <c r="H84" s="119"/>
      <c r="I84" s="120"/>
    </row>
    <row r="85" spans="3:14" x14ac:dyDescent="0.25">
      <c r="C85" s="112"/>
      <c r="D85" s="113"/>
      <c r="E85" s="114"/>
      <c r="F85" s="121"/>
      <c r="G85" s="122"/>
      <c r="H85" s="122"/>
      <c r="I85" s="123"/>
    </row>
    <row r="86" spans="3:14" x14ac:dyDescent="0.25">
      <c r="C86" s="112"/>
      <c r="D86" s="113"/>
      <c r="E86" s="114"/>
      <c r="F86" s="121"/>
      <c r="G86" s="122"/>
      <c r="H86" s="122"/>
      <c r="I86" s="123"/>
    </row>
    <row r="87" spans="3:14" x14ac:dyDescent="0.25">
      <c r="C87" s="112"/>
      <c r="D87" s="113"/>
      <c r="E87" s="114"/>
      <c r="F87" s="121"/>
      <c r="G87" s="122"/>
      <c r="H87" s="122"/>
      <c r="I87" s="123"/>
    </row>
    <row r="88" spans="3:14" x14ac:dyDescent="0.25">
      <c r="C88" s="112"/>
      <c r="D88" s="113"/>
      <c r="E88" s="114"/>
      <c r="F88" s="121"/>
      <c r="G88" s="122"/>
      <c r="H88" s="122"/>
      <c r="I88" s="123"/>
    </row>
    <row r="89" spans="3:14" x14ac:dyDescent="0.25">
      <c r="C89" s="112"/>
      <c r="D89" s="113"/>
      <c r="E89" s="114"/>
      <c r="F89" s="121"/>
      <c r="G89" s="122"/>
      <c r="H89" s="122"/>
      <c r="I89" s="123"/>
    </row>
    <row r="90" spans="3:14" x14ac:dyDescent="0.25">
      <c r="C90" s="112"/>
      <c r="D90" s="113"/>
      <c r="E90" s="114"/>
      <c r="F90" s="121"/>
      <c r="G90" s="122"/>
      <c r="H90" s="122"/>
      <c r="I90" s="123"/>
    </row>
    <row r="91" spans="3:14" x14ac:dyDescent="0.25">
      <c r="C91" s="112"/>
      <c r="D91" s="113"/>
      <c r="E91" s="114"/>
      <c r="F91" s="121"/>
      <c r="G91" s="122"/>
      <c r="H91" s="122"/>
      <c r="I91" s="123"/>
    </row>
    <row r="92" spans="3:14" x14ac:dyDescent="0.25">
      <c r="C92" s="112"/>
      <c r="D92" s="113"/>
      <c r="E92" s="114"/>
      <c r="F92" s="121"/>
      <c r="G92" s="122"/>
      <c r="H92" s="122"/>
      <c r="I92" s="123"/>
    </row>
    <row r="93" spans="3:14" ht="16.5" thickBot="1" x14ac:dyDescent="0.3">
      <c r="C93" s="115"/>
      <c r="D93" s="116"/>
      <c r="E93" s="117"/>
      <c r="F93" s="124"/>
      <c r="G93" s="125"/>
      <c r="H93" s="125"/>
      <c r="I93" s="126"/>
      <c r="J93" s="23"/>
      <c r="K93" s="23"/>
      <c r="L93" s="23"/>
      <c r="M93" s="23"/>
      <c r="N93" s="23"/>
    </row>
    <row r="94" spans="3:14" x14ac:dyDescent="0.25"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</row>
  </sheetData>
  <mergeCells count="55">
    <mergeCell ref="D62:H63"/>
    <mergeCell ref="D2:I3"/>
    <mergeCell ref="D5:F6"/>
    <mergeCell ref="C23:E24"/>
    <mergeCell ref="C33:E34"/>
    <mergeCell ref="D48:F49"/>
    <mergeCell ref="G52:H52"/>
    <mergeCell ref="G51:H51"/>
    <mergeCell ref="G55:H55"/>
    <mergeCell ref="G53:H53"/>
    <mergeCell ref="G54:H54"/>
    <mergeCell ref="G56:H56"/>
    <mergeCell ref="G57:H57"/>
    <mergeCell ref="C65:I65"/>
    <mergeCell ref="C73:I73"/>
    <mergeCell ref="C78:I78"/>
    <mergeCell ref="C83:I83"/>
    <mergeCell ref="F77:I77"/>
    <mergeCell ref="F76:I76"/>
    <mergeCell ref="F75:I75"/>
    <mergeCell ref="F74:I74"/>
    <mergeCell ref="C80:E80"/>
    <mergeCell ref="F80:G80"/>
    <mergeCell ref="H80:I80"/>
    <mergeCell ref="C81:E81"/>
    <mergeCell ref="F81:G81"/>
    <mergeCell ref="H81:I81"/>
    <mergeCell ref="C77:E77"/>
    <mergeCell ref="C79:E79"/>
    <mergeCell ref="C84:E93"/>
    <mergeCell ref="F84:I93"/>
    <mergeCell ref="C82:E82"/>
    <mergeCell ref="F82:G82"/>
    <mergeCell ref="H82:I82"/>
    <mergeCell ref="F79:G79"/>
    <mergeCell ref="H79:I79"/>
    <mergeCell ref="C75:E75"/>
    <mergeCell ref="C76:E76"/>
    <mergeCell ref="H71:I71"/>
    <mergeCell ref="C72:E72"/>
    <mergeCell ref="F72:I72"/>
    <mergeCell ref="C74:E74"/>
    <mergeCell ref="C71:E71"/>
    <mergeCell ref="F71:G71"/>
    <mergeCell ref="C66:E66"/>
    <mergeCell ref="F66:I66"/>
    <mergeCell ref="C67:E67"/>
    <mergeCell ref="F67:I67"/>
    <mergeCell ref="C68:E68"/>
    <mergeCell ref="F68:I68"/>
    <mergeCell ref="C69:E69"/>
    <mergeCell ref="F69:I69"/>
    <mergeCell ref="C70:E70"/>
    <mergeCell ref="F70:G70"/>
    <mergeCell ref="H70:I7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87B3D-ABA6-40F5-9562-D7EADADD5B53}">
  <dimension ref="B1:AH40"/>
  <sheetViews>
    <sheetView tabSelected="1" topLeftCell="H1" zoomScale="70" zoomScaleNormal="70" workbookViewId="0">
      <selection activeCell="M30" sqref="M30"/>
    </sheetView>
  </sheetViews>
  <sheetFormatPr defaultColWidth="8.7109375" defaultRowHeight="15.75" x14ac:dyDescent="0.25"/>
  <cols>
    <col min="1" max="1" width="8.7109375" style="2"/>
    <col min="2" max="2" width="4.42578125" style="2" bestFit="1" customWidth="1"/>
    <col min="3" max="3" width="12.85546875" style="2" bestFit="1" customWidth="1"/>
    <col min="4" max="4" width="15.28515625" style="2" bestFit="1" customWidth="1"/>
    <col min="5" max="5" width="9.5703125" style="2" bestFit="1" customWidth="1"/>
    <col min="6" max="6" width="21.42578125" style="2" bestFit="1" customWidth="1"/>
    <col min="7" max="7" width="12.28515625" style="2" customWidth="1"/>
    <col min="8" max="8" width="8.5703125" style="2" customWidth="1"/>
    <col min="9" max="9" width="5.28515625" style="2" bestFit="1" customWidth="1"/>
    <col min="10" max="10" width="5.5703125" style="2" bestFit="1" customWidth="1"/>
    <col min="11" max="11" width="11.85546875" style="2" customWidth="1"/>
    <col min="12" max="12" width="9.85546875" style="2" bestFit="1" customWidth="1"/>
    <col min="13" max="13" width="26.5703125" style="2" customWidth="1"/>
    <col min="14" max="14" width="19.42578125" style="2" bestFit="1" customWidth="1"/>
    <col min="15" max="16" width="11.5703125" style="2" bestFit="1" customWidth="1"/>
    <col min="17" max="17" width="9.42578125" style="2" bestFit="1" customWidth="1"/>
    <col min="18" max="18" width="12.85546875" style="2" bestFit="1" customWidth="1"/>
    <col min="19" max="19" width="15.140625" style="2" bestFit="1" customWidth="1"/>
    <col min="20" max="20" width="16.5703125" style="2" bestFit="1" customWidth="1"/>
    <col min="21" max="21" width="11.85546875" style="2" bestFit="1" customWidth="1"/>
    <col min="22" max="22" width="18.7109375" style="2" bestFit="1" customWidth="1"/>
    <col min="23" max="23" width="17.42578125" style="2" bestFit="1" customWidth="1"/>
    <col min="24" max="24" width="19.5703125" style="2" customWidth="1"/>
    <col min="25" max="25" width="11" style="2" customWidth="1"/>
    <col min="26" max="26" width="18.42578125" style="2" bestFit="1" customWidth="1"/>
    <col min="27" max="27" width="15.42578125" style="2" bestFit="1" customWidth="1"/>
    <col min="28" max="28" width="14.7109375" style="2" bestFit="1" customWidth="1"/>
    <col min="29" max="29" width="9.5703125" style="2" bestFit="1" customWidth="1"/>
    <col min="30" max="30" width="13.28515625" style="2" bestFit="1" customWidth="1"/>
    <col min="31" max="32" width="5.140625" style="2" bestFit="1" customWidth="1"/>
    <col min="33" max="33" width="10.85546875" style="2" bestFit="1" customWidth="1"/>
    <col min="34" max="34" width="12" style="2" bestFit="1" customWidth="1"/>
    <col min="35" max="16384" width="8.7109375" style="2"/>
  </cols>
  <sheetData>
    <row r="1" spans="2:34" x14ac:dyDescent="0.25">
      <c r="F1" s="146" t="s">
        <v>134</v>
      </c>
      <c r="G1" s="147"/>
      <c r="H1" s="147"/>
      <c r="I1" s="147"/>
      <c r="J1" s="147"/>
      <c r="K1" s="147"/>
      <c r="L1" s="147"/>
      <c r="M1" s="147"/>
      <c r="N1" s="147"/>
      <c r="O1" s="148"/>
    </row>
    <row r="2" spans="2:34" ht="16.5" thickBot="1" x14ac:dyDescent="0.3">
      <c r="F2" s="149"/>
      <c r="G2" s="150"/>
      <c r="H2" s="150"/>
      <c r="I2" s="150"/>
      <c r="J2" s="150"/>
      <c r="K2" s="150"/>
      <c r="L2" s="150"/>
      <c r="M2" s="150"/>
      <c r="N2" s="150"/>
      <c r="O2" s="151"/>
    </row>
    <row r="4" spans="2:34" ht="47.25" x14ac:dyDescent="0.25">
      <c r="B4" s="11" t="s">
        <v>25</v>
      </c>
      <c r="C4" s="11" t="s">
        <v>30</v>
      </c>
      <c r="D4" s="8" t="s">
        <v>2</v>
      </c>
      <c r="E4" s="12" t="s">
        <v>3</v>
      </c>
      <c r="F4" s="11" t="s">
        <v>26</v>
      </c>
      <c r="G4" s="17" t="s">
        <v>34</v>
      </c>
      <c r="H4" s="17" t="s">
        <v>31</v>
      </c>
      <c r="I4" s="17" t="s">
        <v>32</v>
      </c>
      <c r="J4" s="17" t="s">
        <v>33</v>
      </c>
      <c r="K4" s="18" t="s">
        <v>48</v>
      </c>
      <c r="L4" s="17" t="s">
        <v>27</v>
      </c>
      <c r="M4" s="17" t="s">
        <v>35</v>
      </c>
      <c r="N4" s="11" t="s">
        <v>36</v>
      </c>
      <c r="O4" s="11" t="s">
        <v>37</v>
      </c>
      <c r="P4" s="11" t="s">
        <v>52</v>
      </c>
      <c r="Q4" s="11" t="s">
        <v>49</v>
      </c>
      <c r="R4" s="39" t="s">
        <v>125</v>
      </c>
      <c r="S4" s="39" t="s">
        <v>123</v>
      </c>
      <c r="T4" s="39" t="s">
        <v>124</v>
      </c>
      <c r="U4" s="24" t="s">
        <v>64</v>
      </c>
    </row>
    <row r="5" spans="2:34" x14ac:dyDescent="0.25">
      <c r="B5" s="9">
        <v>1</v>
      </c>
      <c r="C5" s="9" t="s">
        <v>17</v>
      </c>
      <c r="D5" s="9" t="s">
        <v>14</v>
      </c>
      <c r="E5" s="9" t="s">
        <v>10</v>
      </c>
      <c r="F5" s="9" t="s">
        <v>46</v>
      </c>
      <c r="G5" s="9">
        <v>8</v>
      </c>
      <c r="H5" s="9" t="s">
        <v>104</v>
      </c>
      <c r="I5" s="9">
        <f t="shared" ref="I5:I29" si="0">IF(H5="","",IFERROR(VLOOKUP(H5,$AD$6:$AF$17,2,0),"?"))</f>
        <v>1</v>
      </c>
      <c r="J5" s="9">
        <f t="shared" ref="J5:J29" si="1">IF(H5="","",IFERROR(VLOOKUP(H5,$AD$6:$AF$17,3,0),"?"))</f>
        <v>2</v>
      </c>
      <c r="K5" s="48">
        <v>1</v>
      </c>
      <c r="L5" s="9" t="s">
        <v>47</v>
      </c>
      <c r="M5" s="19" t="str">
        <f>IF(K5="","",IF(K5&lt;=I5,"LOLOS",IF(K5&gt;=J5,"RETUR","HOLD")))</f>
        <v>LOLOS</v>
      </c>
      <c r="N5" s="9" t="s">
        <v>28</v>
      </c>
      <c r="O5" s="9" t="s">
        <v>54</v>
      </c>
      <c r="P5" s="9" t="s">
        <v>54</v>
      </c>
      <c r="Q5" s="9" t="s">
        <v>51</v>
      </c>
      <c r="R5" s="1" t="s">
        <v>126</v>
      </c>
      <c r="S5" s="1" t="str">
        <f>C5</f>
        <v>1 Juni 2026</v>
      </c>
      <c r="T5" s="1" t="str">
        <f>IF(S5="","",IF(S5&lt;=R5,"TEPAT WAKTU","DELAY"))</f>
        <v>TEPAT WAKTU</v>
      </c>
      <c r="U5" s="1"/>
    </row>
    <row r="6" spans="2:34" ht="18.600000000000001" customHeight="1" x14ac:dyDescent="0.25">
      <c r="B6" s="9">
        <f>1+B5</f>
        <v>2</v>
      </c>
      <c r="C6" s="9" t="s">
        <v>41</v>
      </c>
      <c r="D6" s="9" t="s">
        <v>15</v>
      </c>
      <c r="E6" s="9" t="s">
        <v>11</v>
      </c>
      <c r="F6" s="9" t="s">
        <v>53</v>
      </c>
      <c r="G6" s="9">
        <v>13</v>
      </c>
      <c r="H6" s="9" t="s">
        <v>103</v>
      </c>
      <c r="I6" s="9">
        <f t="shared" si="0"/>
        <v>1</v>
      </c>
      <c r="J6" s="9">
        <f t="shared" si="1"/>
        <v>2</v>
      </c>
      <c r="K6" s="48">
        <v>0</v>
      </c>
      <c r="L6" s="9" t="s">
        <v>47</v>
      </c>
      <c r="M6" s="19" t="str">
        <f t="shared" ref="M6:M10" si="2">IF(K6="","",IF(K6&lt;=I6,"LOLOS",IF(K6&gt;=J6,"RETUR","HOLD")))</f>
        <v>LOLOS</v>
      </c>
      <c r="N6" s="9" t="s">
        <v>29</v>
      </c>
      <c r="O6" s="9" t="s">
        <v>54</v>
      </c>
      <c r="P6" s="9" t="s">
        <v>54</v>
      </c>
      <c r="Q6" s="9" t="s">
        <v>29</v>
      </c>
      <c r="R6" s="1" t="s">
        <v>127</v>
      </c>
      <c r="S6" s="1" t="str">
        <f>C6</f>
        <v>10 Juni 2026</v>
      </c>
      <c r="T6" s="1" t="str">
        <f t="shared" ref="T6:T10" si="3">IF(S6="","",IF(S6&lt;=R6,"TEPAT WAKTU","DELAY"))</f>
        <v>TEPAT WAKTU</v>
      </c>
      <c r="U6" s="1"/>
      <c r="Z6" s="16" t="s">
        <v>110</v>
      </c>
      <c r="AA6" s="34" t="s">
        <v>38</v>
      </c>
      <c r="AB6" s="34" t="s">
        <v>2</v>
      </c>
      <c r="AC6" s="34" t="s">
        <v>3</v>
      </c>
      <c r="AD6" s="14" t="s">
        <v>31</v>
      </c>
      <c r="AE6" s="14" t="s">
        <v>32</v>
      </c>
      <c r="AF6" s="14" t="s">
        <v>33</v>
      </c>
      <c r="AG6" s="35" t="s">
        <v>50</v>
      </c>
      <c r="AH6" s="35" t="s">
        <v>49</v>
      </c>
    </row>
    <row r="7" spans="2:34" x14ac:dyDescent="0.25">
      <c r="B7" s="9">
        <f t="shared" ref="B7:B28" si="4">1+B6</f>
        <v>3</v>
      </c>
      <c r="C7" s="9" t="s">
        <v>42</v>
      </c>
      <c r="D7" s="9" t="s">
        <v>16</v>
      </c>
      <c r="E7" s="9" t="s">
        <v>13</v>
      </c>
      <c r="F7" s="9" t="s">
        <v>46</v>
      </c>
      <c r="G7" s="9">
        <v>20</v>
      </c>
      <c r="H7" s="9" t="s">
        <v>104</v>
      </c>
      <c r="I7" s="9">
        <f t="shared" si="0"/>
        <v>1</v>
      </c>
      <c r="J7" s="9">
        <f t="shared" si="1"/>
        <v>2</v>
      </c>
      <c r="K7" s="48">
        <v>2</v>
      </c>
      <c r="L7" s="9" t="s">
        <v>47</v>
      </c>
      <c r="M7" s="19" t="str">
        <f t="shared" si="2"/>
        <v>RETUR</v>
      </c>
      <c r="N7" s="9" t="s">
        <v>51</v>
      </c>
      <c r="O7" s="9" t="s">
        <v>54</v>
      </c>
      <c r="P7" s="9" t="s">
        <v>54</v>
      </c>
      <c r="Q7" s="9" t="s">
        <v>51</v>
      </c>
      <c r="R7" s="1" t="s">
        <v>128</v>
      </c>
      <c r="S7" s="1" t="str">
        <f t="shared" ref="S7:S10" si="5">C7</f>
        <v>15 Juni 2026</v>
      </c>
      <c r="T7" s="1" t="str">
        <f t="shared" si="3"/>
        <v>DELAY</v>
      </c>
      <c r="U7" s="1"/>
      <c r="Z7" s="15" t="s">
        <v>111</v>
      </c>
      <c r="AA7" s="15">
        <v>2</v>
      </c>
      <c r="AB7" s="33" t="s">
        <v>14</v>
      </c>
      <c r="AC7" s="33" t="s">
        <v>10</v>
      </c>
      <c r="AD7" s="15" t="s">
        <v>100</v>
      </c>
      <c r="AE7" s="15">
        <v>0</v>
      </c>
      <c r="AF7" s="15">
        <v>1</v>
      </c>
      <c r="AG7" s="20" t="s">
        <v>29</v>
      </c>
      <c r="AH7" s="20" t="s">
        <v>29</v>
      </c>
    </row>
    <row r="8" spans="2:34" x14ac:dyDescent="0.25">
      <c r="B8" s="9">
        <f t="shared" si="4"/>
        <v>4</v>
      </c>
      <c r="C8" s="9" t="s">
        <v>43</v>
      </c>
      <c r="D8" s="9" t="s">
        <v>14</v>
      </c>
      <c r="E8" s="9" t="s">
        <v>10</v>
      </c>
      <c r="F8" s="9"/>
      <c r="G8" s="9">
        <v>2</v>
      </c>
      <c r="H8" s="9" t="s">
        <v>100</v>
      </c>
      <c r="I8" s="9">
        <f t="shared" si="0"/>
        <v>0</v>
      </c>
      <c r="J8" s="9">
        <f t="shared" si="1"/>
        <v>1</v>
      </c>
      <c r="K8" s="48">
        <v>2</v>
      </c>
      <c r="L8" s="9" t="s">
        <v>47</v>
      </c>
      <c r="M8" s="19" t="str">
        <f t="shared" si="2"/>
        <v>RETUR</v>
      </c>
      <c r="N8" s="9" t="s">
        <v>51</v>
      </c>
      <c r="O8" s="9" t="s">
        <v>54</v>
      </c>
      <c r="P8" s="9" t="s">
        <v>54</v>
      </c>
      <c r="Q8" s="9" t="s">
        <v>29</v>
      </c>
      <c r="R8" s="1" t="s">
        <v>44</v>
      </c>
      <c r="S8" s="1" t="str">
        <f t="shared" si="5"/>
        <v>16 Juni 2026</v>
      </c>
      <c r="T8" s="1" t="str">
        <f t="shared" si="3"/>
        <v>TEPAT WAKTU</v>
      </c>
      <c r="U8" s="1"/>
      <c r="Z8" s="15" t="s">
        <v>112</v>
      </c>
      <c r="AA8" s="15">
        <v>3</v>
      </c>
      <c r="AB8" s="33" t="s">
        <v>15</v>
      </c>
      <c r="AC8" s="33" t="s">
        <v>11</v>
      </c>
      <c r="AD8" s="15" t="s">
        <v>39</v>
      </c>
      <c r="AE8" s="15">
        <v>0</v>
      </c>
      <c r="AF8" s="15">
        <v>1</v>
      </c>
      <c r="AG8" s="20" t="s">
        <v>51</v>
      </c>
      <c r="AH8" s="20" t="s">
        <v>51</v>
      </c>
    </row>
    <row r="9" spans="2:34" x14ac:dyDescent="0.25">
      <c r="B9" s="9">
        <f t="shared" si="4"/>
        <v>5</v>
      </c>
      <c r="C9" s="9" t="s">
        <v>44</v>
      </c>
      <c r="D9" s="9" t="s">
        <v>15</v>
      </c>
      <c r="E9" s="9" t="s">
        <v>11</v>
      </c>
      <c r="F9" s="9"/>
      <c r="G9" s="9">
        <v>50</v>
      </c>
      <c r="H9" s="9" t="s">
        <v>105</v>
      </c>
      <c r="I9" s="9">
        <f t="shared" si="0"/>
        <v>3</v>
      </c>
      <c r="J9" s="9">
        <f t="shared" si="1"/>
        <v>4</v>
      </c>
      <c r="K9" s="48">
        <v>2</v>
      </c>
      <c r="L9" s="9" t="s">
        <v>47</v>
      </c>
      <c r="M9" s="19" t="str">
        <f t="shared" si="2"/>
        <v>LOLOS</v>
      </c>
      <c r="N9" s="9" t="s">
        <v>28</v>
      </c>
      <c r="O9" s="9" t="s">
        <v>54</v>
      </c>
      <c r="P9" s="9" t="s">
        <v>54</v>
      </c>
      <c r="Q9" s="9" t="s">
        <v>29</v>
      </c>
      <c r="R9" s="1" t="s">
        <v>43</v>
      </c>
      <c r="S9" s="1" t="str">
        <f t="shared" si="5"/>
        <v>17 Juni 2026</v>
      </c>
      <c r="T9" s="1" t="str">
        <f t="shared" si="3"/>
        <v>DELAY</v>
      </c>
      <c r="U9" s="1"/>
      <c r="Z9" s="15" t="s">
        <v>113</v>
      </c>
      <c r="AA9" s="15">
        <v>5</v>
      </c>
      <c r="AB9" s="33" t="s">
        <v>16</v>
      </c>
      <c r="AC9" s="33" t="s">
        <v>13</v>
      </c>
      <c r="AD9" s="15" t="s">
        <v>101</v>
      </c>
      <c r="AE9" s="15">
        <v>0</v>
      </c>
      <c r="AF9" s="15">
        <v>1</v>
      </c>
      <c r="AG9" s="20" t="s">
        <v>28</v>
      </c>
      <c r="AH9" s="20"/>
    </row>
    <row r="10" spans="2:34" x14ac:dyDescent="0.25">
      <c r="B10" s="9">
        <f t="shared" si="4"/>
        <v>6</v>
      </c>
      <c r="C10" s="9" t="s">
        <v>45</v>
      </c>
      <c r="D10" s="9" t="s">
        <v>16</v>
      </c>
      <c r="E10" s="9" t="s">
        <v>13</v>
      </c>
      <c r="F10" s="9"/>
      <c r="G10" s="9">
        <v>3</v>
      </c>
      <c r="H10" s="9" t="s">
        <v>39</v>
      </c>
      <c r="I10" s="9">
        <f t="shared" si="0"/>
        <v>0</v>
      </c>
      <c r="J10" s="9">
        <f t="shared" si="1"/>
        <v>1</v>
      </c>
      <c r="K10" s="48">
        <v>20</v>
      </c>
      <c r="L10" s="9" t="s">
        <v>47</v>
      </c>
      <c r="M10" s="19" t="str">
        <f t="shared" si="2"/>
        <v>RETUR</v>
      </c>
      <c r="N10" s="9" t="s">
        <v>29</v>
      </c>
      <c r="O10" s="9" t="s">
        <v>54</v>
      </c>
      <c r="P10" s="9" t="s">
        <v>54</v>
      </c>
      <c r="Q10" s="9" t="s">
        <v>51</v>
      </c>
      <c r="R10" s="1" t="s">
        <v>44</v>
      </c>
      <c r="S10" s="1" t="str">
        <f t="shared" si="5"/>
        <v>18 Juni 2026</v>
      </c>
      <c r="T10" s="1" t="str">
        <f t="shared" si="3"/>
        <v>DELAY</v>
      </c>
      <c r="U10" s="1"/>
      <c r="Z10" s="15" t="s">
        <v>114</v>
      </c>
      <c r="AA10" s="15">
        <v>8</v>
      </c>
      <c r="AB10" s="20"/>
      <c r="AC10" s="20"/>
      <c r="AD10" s="15" t="s">
        <v>102</v>
      </c>
      <c r="AE10" s="15">
        <v>0</v>
      </c>
      <c r="AF10" s="15">
        <v>1</v>
      </c>
      <c r="AG10" s="20"/>
      <c r="AH10" s="20"/>
    </row>
    <row r="11" spans="2:34" x14ac:dyDescent="0.25">
      <c r="B11" s="49">
        <f t="shared" si="4"/>
        <v>7</v>
      </c>
      <c r="C11" s="49"/>
      <c r="D11" s="49"/>
      <c r="E11" s="49"/>
      <c r="F11" s="49"/>
      <c r="G11" s="49"/>
      <c r="H11" s="49"/>
      <c r="I11" s="49" t="str">
        <f t="shared" si="0"/>
        <v/>
      </c>
      <c r="J11" s="49" t="str">
        <f t="shared" si="1"/>
        <v/>
      </c>
      <c r="K11" s="49"/>
      <c r="L11" s="49"/>
      <c r="M11" s="50" t="str">
        <f t="shared" ref="M11:M29" si="6">IF(K11="","",IF(K11&lt;=I11,"LOLOS",IF(K11&gt;=J11,"RETUR","HOLD")))</f>
        <v/>
      </c>
      <c r="N11" s="49"/>
      <c r="O11" s="49"/>
      <c r="P11" s="49"/>
      <c r="Q11" s="49"/>
      <c r="R11" s="51"/>
      <c r="S11" s="51"/>
      <c r="T11" s="51"/>
      <c r="U11" s="51"/>
      <c r="Z11" s="15" t="s">
        <v>115</v>
      </c>
      <c r="AA11" s="15">
        <v>13</v>
      </c>
      <c r="AB11" s="20"/>
      <c r="AC11" s="20"/>
      <c r="AD11" s="15" t="s">
        <v>103</v>
      </c>
      <c r="AE11" s="15">
        <v>1</v>
      </c>
      <c r="AF11" s="15">
        <v>2</v>
      </c>
      <c r="AG11" s="20"/>
      <c r="AH11" s="20"/>
    </row>
    <row r="12" spans="2:34" x14ac:dyDescent="0.25">
      <c r="B12" s="9">
        <f t="shared" si="4"/>
        <v>8</v>
      </c>
      <c r="C12" s="9"/>
      <c r="D12" s="9"/>
      <c r="E12" s="9"/>
      <c r="F12" s="9"/>
      <c r="G12" s="9"/>
      <c r="H12" s="9"/>
      <c r="I12" s="9" t="str">
        <f t="shared" si="0"/>
        <v/>
      </c>
      <c r="J12" s="9" t="str">
        <f t="shared" si="1"/>
        <v/>
      </c>
      <c r="K12" s="9"/>
      <c r="L12" s="9"/>
      <c r="M12" s="19" t="str">
        <f t="shared" si="6"/>
        <v/>
      </c>
      <c r="N12" s="9"/>
      <c r="O12" s="9"/>
      <c r="P12" s="9"/>
      <c r="Q12" s="9"/>
      <c r="R12" s="1"/>
      <c r="S12" s="1"/>
      <c r="T12" s="1"/>
      <c r="U12" s="1"/>
      <c r="Z12" s="15" t="s">
        <v>116</v>
      </c>
      <c r="AA12" s="15">
        <v>20</v>
      </c>
      <c r="AB12" s="20"/>
      <c r="AC12" s="20"/>
      <c r="AD12" s="15" t="s">
        <v>104</v>
      </c>
      <c r="AE12" s="15">
        <v>1</v>
      </c>
      <c r="AF12" s="15">
        <v>2</v>
      </c>
      <c r="AG12" s="20"/>
      <c r="AH12" s="20"/>
    </row>
    <row r="13" spans="2:34" x14ac:dyDescent="0.25">
      <c r="B13" s="9">
        <f t="shared" si="4"/>
        <v>9</v>
      </c>
      <c r="C13" s="9"/>
      <c r="D13" s="9"/>
      <c r="E13" s="9"/>
      <c r="F13" s="9"/>
      <c r="G13" s="9"/>
      <c r="H13" s="9"/>
      <c r="I13" s="9" t="str">
        <f t="shared" si="0"/>
        <v/>
      </c>
      <c r="J13" s="9" t="str">
        <f t="shared" si="1"/>
        <v/>
      </c>
      <c r="K13" s="9"/>
      <c r="L13" s="9"/>
      <c r="M13" s="19" t="str">
        <f t="shared" si="6"/>
        <v/>
      </c>
      <c r="N13" s="9"/>
      <c r="O13" s="9"/>
      <c r="P13" s="9"/>
      <c r="Q13" s="9"/>
      <c r="R13" s="1"/>
      <c r="S13" s="1"/>
      <c r="T13" s="1"/>
      <c r="U13" s="1"/>
      <c r="Z13" s="15" t="s">
        <v>117</v>
      </c>
      <c r="AA13" s="15">
        <v>32</v>
      </c>
      <c r="AB13" s="20"/>
      <c r="AC13" s="20"/>
      <c r="AD13" s="15" t="s">
        <v>40</v>
      </c>
      <c r="AE13" s="15">
        <v>2</v>
      </c>
      <c r="AF13" s="15">
        <v>3</v>
      </c>
      <c r="AG13" s="20"/>
      <c r="AH13" s="20"/>
    </row>
    <row r="14" spans="2:34" x14ac:dyDescent="0.25">
      <c r="B14" s="9">
        <f t="shared" si="4"/>
        <v>10</v>
      </c>
      <c r="C14" s="9"/>
      <c r="D14" s="9"/>
      <c r="E14" s="9"/>
      <c r="F14" s="9"/>
      <c r="G14" s="9"/>
      <c r="H14" s="9"/>
      <c r="I14" s="9" t="str">
        <f t="shared" si="0"/>
        <v/>
      </c>
      <c r="J14" s="9" t="str">
        <f t="shared" si="1"/>
        <v/>
      </c>
      <c r="K14" s="9"/>
      <c r="L14" s="9"/>
      <c r="M14" s="19" t="str">
        <f t="shared" si="6"/>
        <v/>
      </c>
      <c r="N14" s="9"/>
      <c r="O14" s="9"/>
      <c r="P14" s="9"/>
      <c r="Q14" s="9"/>
      <c r="R14" s="1"/>
      <c r="S14" s="1"/>
      <c r="T14" s="1"/>
      <c r="U14" s="1"/>
      <c r="Z14" s="15" t="s">
        <v>118</v>
      </c>
      <c r="AA14" s="15">
        <v>50</v>
      </c>
      <c r="AB14" s="20"/>
      <c r="AC14" s="20"/>
      <c r="AD14" s="15" t="s">
        <v>105</v>
      </c>
      <c r="AE14" s="15">
        <v>3</v>
      </c>
      <c r="AF14" s="15">
        <v>4</v>
      </c>
      <c r="AG14" s="20"/>
      <c r="AH14" s="20"/>
    </row>
    <row r="15" spans="2:34" x14ac:dyDescent="0.25">
      <c r="B15" s="9">
        <f t="shared" si="4"/>
        <v>11</v>
      </c>
      <c r="C15" s="9"/>
      <c r="D15" s="9"/>
      <c r="E15" s="9"/>
      <c r="F15" s="9"/>
      <c r="G15" s="9"/>
      <c r="H15" s="9"/>
      <c r="I15" s="9" t="str">
        <f t="shared" si="0"/>
        <v/>
      </c>
      <c r="J15" s="9" t="str">
        <f t="shared" si="1"/>
        <v/>
      </c>
      <c r="K15" s="9"/>
      <c r="L15" s="9"/>
      <c r="M15" s="19" t="str">
        <f t="shared" si="6"/>
        <v/>
      </c>
      <c r="N15" s="9"/>
      <c r="O15" s="9"/>
      <c r="P15" s="9"/>
      <c r="Q15" s="9"/>
      <c r="R15" s="1"/>
      <c r="S15" s="1"/>
      <c r="T15" s="1"/>
      <c r="U15" s="1"/>
      <c r="Z15" s="15" t="s">
        <v>119</v>
      </c>
      <c r="AA15" s="15">
        <v>80</v>
      </c>
      <c r="AB15" s="20"/>
      <c r="AC15" s="20"/>
      <c r="AD15" s="15" t="s">
        <v>106</v>
      </c>
      <c r="AE15" s="15">
        <v>5</v>
      </c>
      <c r="AF15" s="15">
        <v>6</v>
      </c>
      <c r="AG15" s="20"/>
      <c r="AH15" s="20"/>
    </row>
    <row r="16" spans="2:34" x14ac:dyDescent="0.25">
      <c r="B16" s="9">
        <f t="shared" si="4"/>
        <v>12</v>
      </c>
      <c r="C16" s="9"/>
      <c r="D16" s="9"/>
      <c r="E16" s="9"/>
      <c r="F16" s="9"/>
      <c r="G16" s="9"/>
      <c r="H16" s="9"/>
      <c r="I16" s="9" t="str">
        <f t="shared" si="0"/>
        <v/>
      </c>
      <c r="J16" s="9" t="str">
        <f t="shared" si="1"/>
        <v/>
      </c>
      <c r="K16" s="9"/>
      <c r="L16" s="9"/>
      <c r="M16" s="19" t="str">
        <f t="shared" si="6"/>
        <v/>
      </c>
      <c r="N16" s="9"/>
      <c r="O16" s="9"/>
      <c r="P16" s="9"/>
      <c r="Q16" s="9"/>
      <c r="R16" s="1"/>
      <c r="S16" s="1"/>
      <c r="T16" s="1"/>
      <c r="U16" s="1"/>
      <c r="Z16" s="15" t="s">
        <v>120</v>
      </c>
      <c r="AA16" s="15">
        <v>125</v>
      </c>
      <c r="AB16" s="20"/>
      <c r="AC16" s="20"/>
      <c r="AD16" s="15" t="s">
        <v>107</v>
      </c>
      <c r="AE16" s="15">
        <v>7</v>
      </c>
      <c r="AF16" s="15">
        <v>8</v>
      </c>
      <c r="AG16" s="20"/>
      <c r="AH16" s="20"/>
    </row>
    <row r="17" spans="2:34" x14ac:dyDescent="0.25">
      <c r="B17" s="9">
        <f t="shared" si="4"/>
        <v>13</v>
      </c>
      <c r="C17" s="9"/>
      <c r="D17" s="9"/>
      <c r="E17" s="9"/>
      <c r="F17" s="9"/>
      <c r="G17" s="9"/>
      <c r="H17" s="9"/>
      <c r="I17" s="9" t="str">
        <f t="shared" si="0"/>
        <v/>
      </c>
      <c r="J17" s="9" t="str">
        <f t="shared" si="1"/>
        <v/>
      </c>
      <c r="K17" s="9"/>
      <c r="L17" s="9"/>
      <c r="M17" s="19" t="str">
        <f t="shared" si="6"/>
        <v/>
      </c>
      <c r="N17" s="9"/>
      <c r="O17" s="9"/>
      <c r="P17" s="9"/>
      <c r="Q17" s="9"/>
      <c r="R17" s="1"/>
      <c r="S17" s="1"/>
      <c r="T17" s="1"/>
      <c r="U17" s="1"/>
      <c r="Z17" s="15" t="s">
        <v>121</v>
      </c>
      <c r="AA17" s="15">
        <v>200</v>
      </c>
      <c r="AB17" s="20"/>
      <c r="AC17" s="20"/>
      <c r="AD17" s="15" t="s">
        <v>108</v>
      </c>
      <c r="AE17" s="15">
        <v>10</v>
      </c>
      <c r="AF17" s="15">
        <v>11</v>
      </c>
      <c r="AG17" s="20"/>
      <c r="AH17" s="20"/>
    </row>
    <row r="18" spans="2:34" x14ac:dyDescent="0.25">
      <c r="B18" s="9">
        <f>1+B17</f>
        <v>14</v>
      </c>
      <c r="C18" s="9"/>
      <c r="D18" s="9"/>
      <c r="E18" s="9"/>
      <c r="F18" s="9"/>
      <c r="G18" s="9"/>
      <c r="H18" s="9"/>
      <c r="I18" s="9" t="str">
        <f t="shared" si="0"/>
        <v/>
      </c>
      <c r="J18" s="9" t="str">
        <f t="shared" si="1"/>
        <v/>
      </c>
      <c r="K18" s="9"/>
      <c r="L18" s="9"/>
      <c r="M18" s="19" t="str">
        <f t="shared" si="6"/>
        <v/>
      </c>
      <c r="N18" s="9"/>
      <c r="O18" s="9"/>
      <c r="P18" s="9"/>
      <c r="Q18" s="9"/>
      <c r="R18" s="1"/>
      <c r="S18" s="1"/>
      <c r="T18" s="1"/>
      <c r="U18" s="1"/>
    </row>
    <row r="19" spans="2:34" x14ac:dyDescent="0.25">
      <c r="B19" s="9">
        <f t="shared" si="4"/>
        <v>15</v>
      </c>
      <c r="C19" s="9"/>
      <c r="D19" s="9"/>
      <c r="E19" s="9"/>
      <c r="F19" s="9"/>
      <c r="G19" s="9"/>
      <c r="H19" s="9"/>
      <c r="I19" s="9" t="str">
        <f t="shared" si="0"/>
        <v/>
      </c>
      <c r="J19" s="9" t="str">
        <f t="shared" si="1"/>
        <v/>
      </c>
      <c r="K19" s="9"/>
      <c r="L19" s="9"/>
      <c r="M19" s="19" t="str">
        <f t="shared" si="6"/>
        <v/>
      </c>
      <c r="N19" s="9"/>
      <c r="O19" s="9"/>
      <c r="P19" s="9"/>
      <c r="Q19" s="9"/>
      <c r="R19" s="1"/>
      <c r="S19" s="1"/>
      <c r="T19" s="1"/>
      <c r="U19" s="1"/>
    </row>
    <row r="20" spans="2:34" x14ac:dyDescent="0.25">
      <c r="B20" s="9">
        <f t="shared" si="4"/>
        <v>16</v>
      </c>
      <c r="C20" s="9"/>
      <c r="D20" s="9"/>
      <c r="E20" s="9"/>
      <c r="F20" s="9"/>
      <c r="G20" s="9"/>
      <c r="H20" s="9"/>
      <c r="I20" s="9" t="str">
        <f t="shared" si="0"/>
        <v/>
      </c>
      <c r="J20" s="9" t="str">
        <f t="shared" si="1"/>
        <v/>
      </c>
      <c r="K20" s="9"/>
      <c r="L20" s="9"/>
      <c r="M20" s="19" t="str">
        <f t="shared" si="6"/>
        <v/>
      </c>
      <c r="N20" s="9"/>
      <c r="O20" s="9"/>
      <c r="P20" s="9"/>
      <c r="Q20" s="9"/>
      <c r="R20" s="1"/>
      <c r="S20" s="1"/>
      <c r="T20" s="1"/>
      <c r="U20" s="1"/>
    </row>
    <row r="21" spans="2:34" x14ac:dyDescent="0.25">
      <c r="B21" s="9">
        <f t="shared" si="4"/>
        <v>17</v>
      </c>
      <c r="C21" s="9"/>
      <c r="D21" s="9"/>
      <c r="E21" s="9"/>
      <c r="F21" s="9"/>
      <c r="G21" s="9"/>
      <c r="H21" s="9"/>
      <c r="I21" s="9" t="str">
        <f t="shared" si="0"/>
        <v/>
      </c>
      <c r="J21" s="9" t="str">
        <f t="shared" si="1"/>
        <v/>
      </c>
      <c r="K21" s="9"/>
      <c r="L21" s="9"/>
      <c r="M21" s="19" t="str">
        <f t="shared" si="6"/>
        <v/>
      </c>
      <c r="N21" s="9"/>
      <c r="O21" s="9"/>
      <c r="P21" s="9"/>
      <c r="Q21" s="9"/>
      <c r="R21" s="1"/>
      <c r="S21" s="1"/>
      <c r="T21" s="1"/>
      <c r="U21" s="1"/>
    </row>
    <row r="22" spans="2:34" x14ac:dyDescent="0.25">
      <c r="B22" s="9">
        <f t="shared" si="4"/>
        <v>18</v>
      </c>
      <c r="C22" s="9"/>
      <c r="D22" s="9"/>
      <c r="E22" s="9"/>
      <c r="F22" s="9"/>
      <c r="G22" s="9"/>
      <c r="H22" s="9"/>
      <c r="I22" s="9" t="str">
        <f t="shared" si="0"/>
        <v/>
      </c>
      <c r="J22" s="9" t="str">
        <f t="shared" si="1"/>
        <v/>
      </c>
      <c r="K22" s="9"/>
      <c r="L22" s="9"/>
      <c r="M22" s="19" t="str">
        <f t="shared" si="6"/>
        <v/>
      </c>
      <c r="N22" s="9"/>
      <c r="O22" s="9"/>
      <c r="P22" s="9"/>
      <c r="Q22" s="9"/>
      <c r="R22" s="1"/>
      <c r="S22" s="1"/>
      <c r="T22" s="1"/>
      <c r="U22" s="1"/>
    </row>
    <row r="23" spans="2:34" x14ac:dyDescent="0.25">
      <c r="B23" s="9">
        <f t="shared" si="4"/>
        <v>19</v>
      </c>
      <c r="C23" s="9"/>
      <c r="D23" s="9"/>
      <c r="E23" s="9"/>
      <c r="F23" s="9"/>
      <c r="G23" s="9"/>
      <c r="H23" s="9"/>
      <c r="I23" s="9" t="str">
        <f t="shared" si="0"/>
        <v/>
      </c>
      <c r="J23" s="9" t="str">
        <f t="shared" si="1"/>
        <v/>
      </c>
      <c r="K23" s="9"/>
      <c r="L23" s="9"/>
      <c r="M23" s="19" t="str">
        <f t="shared" si="6"/>
        <v/>
      </c>
      <c r="N23" s="9"/>
      <c r="O23" s="9"/>
      <c r="P23" s="9"/>
      <c r="Q23" s="9"/>
      <c r="R23" s="1"/>
      <c r="S23" s="1"/>
      <c r="T23" s="1"/>
      <c r="U23" s="1"/>
    </row>
    <row r="24" spans="2:34" x14ac:dyDescent="0.25">
      <c r="B24" s="9">
        <f t="shared" si="4"/>
        <v>20</v>
      </c>
      <c r="C24" s="9"/>
      <c r="D24" s="9"/>
      <c r="E24" s="9"/>
      <c r="F24" s="9"/>
      <c r="G24" s="9"/>
      <c r="H24" s="9"/>
      <c r="I24" s="9" t="str">
        <f t="shared" si="0"/>
        <v/>
      </c>
      <c r="J24" s="9" t="str">
        <f t="shared" si="1"/>
        <v/>
      </c>
      <c r="K24" s="9"/>
      <c r="L24" s="9"/>
      <c r="M24" s="19" t="str">
        <f t="shared" si="6"/>
        <v/>
      </c>
      <c r="N24" s="9"/>
      <c r="O24" s="9"/>
      <c r="P24" s="9"/>
      <c r="Q24" s="9"/>
      <c r="R24" s="1"/>
      <c r="S24" s="1"/>
      <c r="T24" s="1"/>
      <c r="U24" s="1"/>
    </row>
    <row r="25" spans="2:34" x14ac:dyDescent="0.25">
      <c r="B25" s="9">
        <f t="shared" si="4"/>
        <v>21</v>
      </c>
      <c r="C25" s="9"/>
      <c r="D25" s="9"/>
      <c r="E25" s="9"/>
      <c r="F25" s="9"/>
      <c r="G25" s="9"/>
      <c r="H25" s="9"/>
      <c r="I25" s="9" t="str">
        <f t="shared" si="0"/>
        <v/>
      </c>
      <c r="J25" s="9" t="str">
        <f t="shared" si="1"/>
        <v/>
      </c>
      <c r="K25" s="9"/>
      <c r="L25" s="9"/>
      <c r="M25" s="19" t="str">
        <f t="shared" si="6"/>
        <v/>
      </c>
      <c r="N25" s="9"/>
      <c r="O25" s="9"/>
      <c r="P25" s="9"/>
      <c r="Q25" s="9"/>
      <c r="R25" s="1"/>
      <c r="S25" s="1"/>
      <c r="T25" s="1"/>
      <c r="U25" s="1"/>
    </row>
    <row r="26" spans="2:34" x14ac:dyDescent="0.25">
      <c r="B26" s="9">
        <f t="shared" si="4"/>
        <v>22</v>
      </c>
      <c r="C26" s="9"/>
      <c r="D26" s="9"/>
      <c r="E26" s="9"/>
      <c r="F26" s="9"/>
      <c r="G26" s="9"/>
      <c r="H26" s="9"/>
      <c r="I26" s="9" t="str">
        <f t="shared" si="0"/>
        <v/>
      </c>
      <c r="J26" s="9" t="str">
        <f t="shared" si="1"/>
        <v/>
      </c>
      <c r="K26" s="9"/>
      <c r="L26" s="9"/>
      <c r="M26" s="19" t="str">
        <f t="shared" si="6"/>
        <v/>
      </c>
      <c r="N26" s="9"/>
      <c r="O26" s="9"/>
      <c r="P26" s="9"/>
      <c r="Q26" s="9"/>
      <c r="R26" s="1"/>
      <c r="S26" s="1"/>
      <c r="T26" s="1"/>
      <c r="U26" s="1"/>
    </row>
    <row r="27" spans="2:34" x14ac:dyDescent="0.25">
      <c r="B27" s="9">
        <f t="shared" si="4"/>
        <v>23</v>
      </c>
      <c r="C27" s="9"/>
      <c r="D27" s="9"/>
      <c r="E27" s="9"/>
      <c r="F27" s="9"/>
      <c r="G27" s="9"/>
      <c r="H27" s="9"/>
      <c r="I27" s="9" t="str">
        <f t="shared" si="0"/>
        <v/>
      </c>
      <c r="J27" s="9" t="str">
        <f t="shared" si="1"/>
        <v/>
      </c>
      <c r="K27" s="9"/>
      <c r="L27" s="13"/>
      <c r="M27" s="19" t="str">
        <f t="shared" si="6"/>
        <v/>
      </c>
      <c r="N27" s="9"/>
      <c r="O27" s="9"/>
      <c r="P27" s="9"/>
      <c r="Q27" s="9"/>
      <c r="R27" s="1"/>
      <c r="S27" s="1"/>
      <c r="T27" s="1"/>
      <c r="U27" s="1"/>
    </row>
    <row r="28" spans="2:34" x14ac:dyDescent="0.25">
      <c r="B28" s="9">
        <f t="shared" si="4"/>
        <v>24</v>
      </c>
      <c r="C28" s="9"/>
      <c r="D28" s="9"/>
      <c r="E28" s="9"/>
      <c r="F28" s="9"/>
      <c r="G28" s="9"/>
      <c r="H28" s="9"/>
      <c r="I28" s="9" t="str">
        <f t="shared" si="0"/>
        <v/>
      </c>
      <c r="J28" s="9" t="str">
        <f t="shared" si="1"/>
        <v/>
      </c>
      <c r="K28" s="9"/>
      <c r="L28" s="9"/>
      <c r="M28" s="19" t="str">
        <f t="shared" si="6"/>
        <v/>
      </c>
      <c r="N28" s="9"/>
      <c r="O28" s="9"/>
      <c r="P28" s="9"/>
      <c r="Q28" s="9"/>
      <c r="R28" s="1"/>
      <c r="S28" s="1"/>
      <c r="T28" s="1"/>
      <c r="U28" s="1"/>
    </row>
    <row r="29" spans="2:34" x14ac:dyDescent="0.25">
      <c r="B29" s="9">
        <f>1+B28</f>
        <v>25</v>
      </c>
      <c r="C29" s="9"/>
      <c r="D29" s="9"/>
      <c r="E29" s="9"/>
      <c r="F29" s="9"/>
      <c r="G29" s="9"/>
      <c r="H29" s="9"/>
      <c r="I29" s="9" t="str">
        <f t="shared" si="0"/>
        <v/>
      </c>
      <c r="J29" s="9" t="str">
        <f t="shared" si="1"/>
        <v/>
      </c>
      <c r="K29" s="9"/>
      <c r="L29" s="9"/>
      <c r="M29" s="19" t="str">
        <f t="shared" si="6"/>
        <v/>
      </c>
      <c r="N29" s="9"/>
      <c r="O29" s="9"/>
      <c r="P29" s="9"/>
      <c r="Q29" s="9"/>
      <c r="R29" s="1"/>
      <c r="S29" s="1"/>
      <c r="T29" s="1"/>
      <c r="U29" s="1"/>
    </row>
    <row r="33" spans="17:17" x14ac:dyDescent="0.25">
      <c r="Q33" s="21"/>
    </row>
    <row r="40" spans="17:17" ht="38.1" customHeight="1" x14ac:dyDescent="0.25"/>
  </sheetData>
  <mergeCells count="1">
    <mergeCell ref="F1:O2"/>
  </mergeCells>
  <dataValidations count="6">
    <dataValidation type="list" allowBlank="1" showInputMessage="1" showErrorMessage="1" sqref="D5:D29" xr:uid="{25A72C93-38FB-4B3D-8D37-37EE382097BB}">
      <formula1>$AB$7:$AB$9</formula1>
    </dataValidation>
    <dataValidation type="list" allowBlank="1" showInputMessage="1" showErrorMessage="1" sqref="E5:E29" xr:uid="{35BEEC82-99C2-4D52-AA73-8062FE2F2174}">
      <formula1>$AC$7:$AC$9</formula1>
    </dataValidation>
    <dataValidation type="list" allowBlank="1" showInputMessage="1" showErrorMessage="1" sqref="G5:G29" xr:uid="{561C34C9-11FF-4D47-977B-5C3DECE454CF}">
      <formula1>$AA$7:$AA$17</formula1>
    </dataValidation>
    <dataValidation type="list" allowBlank="1" showInputMessage="1" showErrorMessage="1" sqref="H5:H29" xr:uid="{BA4A38C8-6053-47A7-85A0-32C1C2497E23}">
      <formula1>$AD$7:$AD$17</formula1>
    </dataValidation>
    <dataValidation type="list" allowBlank="1" showInputMessage="1" showErrorMessage="1" sqref="N5:N29" xr:uid="{622AB2CD-52F2-497E-A7E7-BB0EB8254C0D}">
      <formula1>$AG$7:$AG$9</formula1>
    </dataValidation>
    <dataValidation type="list" allowBlank="1" showInputMessage="1" showErrorMessage="1" sqref="Q5:Q29" xr:uid="{494483E4-E0A5-4F55-9417-E27A2ADB98E3}">
      <formula1>$AH$7:$AH$8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4881D-0B0F-41D5-9E46-78590B8DAFDD}">
  <dimension ref="B1:O23"/>
  <sheetViews>
    <sheetView zoomScale="70" zoomScaleNormal="70" workbookViewId="0">
      <selection activeCell="E27" sqref="E27"/>
    </sheetView>
  </sheetViews>
  <sheetFormatPr defaultColWidth="8.7109375" defaultRowHeight="15.75" x14ac:dyDescent="0.25"/>
  <cols>
    <col min="1" max="1" width="8.7109375" style="2"/>
    <col min="2" max="2" width="12.85546875" style="2" bestFit="1" customWidth="1"/>
    <col min="3" max="3" width="15.28515625" style="2" customWidth="1"/>
    <col min="4" max="4" width="14.7109375" style="2" customWidth="1"/>
    <col min="5" max="5" width="9.42578125" style="2" bestFit="1" customWidth="1"/>
    <col min="6" max="6" width="11.140625" style="2" customWidth="1"/>
    <col min="7" max="7" width="11.7109375" style="2" bestFit="1" customWidth="1"/>
    <col min="8" max="8" width="18.85546875" style="2" bestFit="1" customWidth="1"/>
    <col min="9" max="9" width="22.85546875" style="2" bestFit="1" customWidth="1"/>
    <col min="10" max="10" width="2.85546875" style="2" customWidth="1"/>
    <col min="11" max="11" width="24.140625" style="2" customWidth="1"/>
    <col min="12" max="12" width="19.5703125" style="2" bestFit="1" customWidth="1"/>
    <col min="13" max="14" width="19.5703125" style="2" customWidth="1"/>
    <col min="15" max="15" width="17.7109375" style="2" bestFit="1" customWidth="1"/>
    <col min="16" max="16" width="18" style="2" bestFit="1" customWidth="1"/>
    <col min="17" max="17" width="14.42578125" style="2" bestFit="1" customWidth="1"/>
    <col min="18" max="18" width="13.5703125" style="2" bestFit="1" customWidth="1"/>
    <col min="19" max="19" width="9.42578125" style="2" bestFit="1" customWidth="1"/>
    <col min="20" max="16384" width="8.7109375" style="2"/>
  </cols>
  <sheetData>
    <row r="1" spans="2:15" ht="16.5" thickBot="1" x14ac:dyDescent="0.3"/>
    <row r="2" spans="2:15" x14ac:dyDescent="0.25">
      <c r="D2" s="146" t="s">
        <v>135</v>
      </c>
      <c r="E2" s="147"/>
      <c r="F2" s="147"/>
      <c r="G2" s="147"/>
      <c r="H2" s="147"/>
      <c r="I2" s="147"/>
      <c r="J2" s="147"/>
      <c r="K2" s="148"/>
    </row>
    <row r="3" spans="2:15" ht="16.5" thickBot="1" x14ac:dyDescent="0.3">
      <c r="D3" s="149"/>
      <c r="E3" s="150"/>
      <c r="F3" s="150"/>
      <c r="G3" s="150"/>
      <c r="H3" s="150"/>
      <c r="I3" s="150"/>
      <c r="J3" s="150"/>
      <c r="K3" s="151"/>
    </row>
    <row r="5" spans="2:15" x14ac:dyDescent="0.25">
      <c r="B5" s="3" t="s">
        <v>0</v>
      </c>
      <c r="C5" s="3" t="s">
        <v>1</v>
      </c>
      <c r="D5" s="3" t="s">
        <v>2</v>
      </c>
      <c r="E5" s="3" t="s">
        <v>3</v>
      </c>
      <c r="F5" s="3" t="s">
        <v>4</v>
      </c>
      <c r="G5" s="3" t="s">
        <v>5</v>
      </c>
      <c r="H5" s="3" t="s">
        <v>24</v>
      </c>
      <c r="I5" s="3" t="s">
        <v>7</v>
      </c>
      <c r="J5" s="10"/>
    </row>
    <row r="6" spans="2:15" x14ac:dyDescent="0.25">
      <c r="B6" s="4" t="s">
        <v>17</v>
      </c>
      <c r="C6" s="5" t="s">
        <v>9</v>
      </c>
      <c r="D6" s="5" t="s">
        <v>14</v>
      </c>
      <c r="E6" s="5" t="s">
        <v>10</v>
      </c>
      <c r="F6" s="5">
        <v>100</v>
      </c>
      <c r="G6" s="5"/>
      <c r="H6" s="5">
        <f>F6-G6</f>
        <v>100</v>
      </c>
      <c r="I6" s="5">
        <f>500-H6</f>
        <v>400</v>
      </c>
      <c r="J6" s="10"/>
    </row>
    <row r="7" spans="2:15" x14ac:dyDescent="0.25">
      <c r="B7" s="5" t="s">
        <v>22</v>
      </c>
      <c r="C7" s="5" t="s">
        <v>9</v>
      </c>
      <c r="D7" s="5" t="s">
        <v>15</v>
      </c>
      <c r="E7" s="5" t="s">
        <v>11</v>
      </c>
      <c r="F7" s="5">
        <v>90</v>
      </c>
      <c r="G7" s="5"/>
      <c r="H7" s="5">
        <f>H6+F7-G7</f>
        <v>190</v>
      </c>
      <c r="I7" s="5">
        <f t="shared" ref="I7:I11" si="0">500-H7</f>
        <v>310</v>
      </c>
      <c r="J7" s="10"/>
      <c r="K7" s="8" t="s">
        <v>2</v>
      </c>
      <c r="L7" s="8" t="s">
        <v>19</v>
      </c>
      <c r="M7" s="8" t="s">
        <v>20</v>
      </c>
      <c r="N7" s="8" t="s">
        <v>6</v>
      </c>
      <c r="O7" s="7" t="s">
        <v>8</v>
      </c>
    </row>
    <row r="8" spans="2:15" x14ac:dyDescent="0.25">
      <c r="B8" s="5" t="s">
        <v>23</v>
      </c>
      <c r="C8" s="5" t="s">
        <v>9</v>
      </c>
      <c r="D8" s="5" t="s">
        <v>16</v>
      </c>
      <c r="E8" s="5" t="s">
        <v>13</v>
      </c>
      <c r="F8" s="5">
        <v>98</v>
      </c>
      <c r="G8" s="5"/>
      <c r="H8" s="5">
        <f>H7+F8-G8</f>
        <v>288</v>
      </c>
      <c r="I8" s="5">
        <f t="shared" si="0"/>
        <v>212</v>
      </c>
      <c r="J8" s="10"/>
      <c r="K8" s="9" t="s">
        <v>14</v>
      </c>
      <c r="L8" s="9">
        <f>SUMIFS($F:$F,$D:$D,$K8,$C:$C,"IN")</f>
        <v>200</v>
      </c>
      <c r="M8" s="9">
        <f>SUMIFS($G:$G,$D:$D,$K8,$C:$C,"OUT")</f>
        <v>143</v>
      </c>
      <c r="N8" s="9">
        <f>L8-M8</f>
        <v>57</v>
      </c>
      <c r="O8" s="1" t="str">
        <f>IF(N8&gt;=100,"OVER LOAD",IF(N8&gt;=50,"AMAN","PESAN ULANG"))</f>
        <v>AMAN</v>
      </c>
    </row>
    <row r="9" spans="2:15" x14ac:dyDescent="0.25">
      <c r="B9" s="5" t="s">
        <v>18</v>
      </c>
      <c r="C9" s="5" t="s">
        <v>9</v>
      </c>
      <c r="D9" s="5" t="s">
        <v>14</v>
      </c>
      <c r="E9" s="5" t="s">
        <v>10</v>
      </c>
      <c r="F9" s="5">
        <v>100</v>
      </c>
      <c r="G9" s="5"/>
      <c r="H9" s="5">
        <f>H8+F9-G9</f>
        <v>388</v>
      </c>
      <c r="I9" s="5">
        <f t="shared" si="0"/>
        <v>112</v>
      </c>
      <c r="J9" s="10"/>
      <c r="K9" s="9" t="s">
        <v>15</v>
      </c>
      <c r="L9" s="9">
        <f>SUMIFS($F:$F,$D:$D,$K9,$C:$C,"IN")</f>
        <v>90</v>
      </c>
      <c r="M9" s="9">
        <f>SUMIFS($G:$G,$D:$D,$K9,$C:$C,"OUT")</f>
        <v>0</v>
      </c>
      <c r="N9" s="9">
        <f>L9-M9</f>
        <v>90</v>
      </c>
      <c r="O9" s="1" t="str">
        <f t="shared" ref="O9:O10" si="1">IF(N9&gt;=100,"OVER LOAD",IF(N9&gt;=50,"AMAN","PESAN ULANG"))</f>
        <v>AMAN</v>
      </c>
    </row>
    <row r="10" spans="2:15" x14ac:dyDescent="0.25">
      <c r="B10" s="5" t="s">
        <v>21</v>
      </c>
      <c r="C10" s="5" t="s">
        <v>12</v>
      </c>
      <c r="D10" s="5" t="s">
        <v>14</v>
      </c>
      <c r="E10" s="5" t="s">
        <v>11</v>
      </c>
      <c r="F10" s="5"/>
      <c r="G10" s="5">
        <v>98</v>
      </c>
      <c r="H10" s="5">
        <f>H9+F10-G10</f>
        <v>290</v>
      </c>
      <c r="I10" s="5">
        <f t="shared" si="0"/>
        <v>210</v>
      </c>
      <c r="J10" s="10"/>
      <c r="K10" s="9" t="s">
        <v>16</v>
      </c>
      <c r="L10" s="9">
        <f>SUMIFS($F:$F,$D:$D,$K10,$C:$C,"IN")</f>
        <v>98</v>
      </c>
      <c r="M10" s="9">
        <f>SUMIFS($G:$G,$D:$D,$K10,$C:$C,"OUT")</f>
        <v>0</v>
      </c>
      <c r="N10" s="9">
        <f>L10-M10</f>
        <v>98</v>
      </c>
      <c r="O10" s="1" t="str">
        <f t="shared" si="1"/>
        <v>AMAN</v>
      </c>
    </row>
    <row r="11" spans="2:15" x14ac:dyDescent="0.25">
      <c r="B11" s="5" t="s">
        <v>41</v>
      </c>
      <c r="C11" s="5" t="s">
        <v>12</v>
      </c>
      <c r="D11" s="5" t="s">
        <v>14</v>
      </c>
      <c r="E11" s="5" t="s">
        <v>11</v>
      </c>
      <c r="F11" s="5"/>
      <c r="G11" s="5">
        <v>45</v>
      </c>
      <c r="H11" s="5">
        <f>H10+F11-G11</f>
        <v>245</v>
      </c>
      <c r="I11" s="5">
        <f t="shared" si="0"/>
        <v>255</v>
      </c>
      <c r="J11" s="10"/>
    </row>
    <row r="20" spans="11:13" x14ac:dyDescent="0.25">
      <c r="K20" s="6" t="s">
        <v>1</v>
      </c>
      <c r="L20" s="6" t="s">
        <v>2</v>
      </c>
      <c r="M20" s="6" t="s">
        <v>3</v>
      </c>
    </row>
    <row r="21" spans="11:13" x14ac:dyDescent="0.25">
      <c r="K21" s="6" t="s">
        <v>9</v>
      </c>
      <c r="L21" s="6" t="s">
        <v>14</v>
      </c>
      <c r="M21" s="6" t="s">
        <v>10</v>
      </c>
    </row>
    <row r="22" spans="11:13" x14ac:dyDescent="0.25">
      <c r="K22" s="6" t="s">
        <v>12</v>
      </c>
      <c r="L22" s="6" t="s">
        <v>15</v>
      </c>
      <c r="M22" s="6" t="s">
        <v>11</v>
      </c>
    </row>
    <row r="23" spans="11:13" x14ac:dyDescent="0.25">
      <c r="K23" s="6"/>
      <c r="L23" s="6" t="s">
        <v>16</v>
      </c>
      <c r="M23" s="6" t="s">
        <v>13</v>
      </c>
    </row>
  </sheetData>
  <mergeCells count="1">
    <mergeCell ref="D2:K3"/>
  </mergeCells>
  <dataValidations count="4">
    <dataValidation type="list" allowBlank="1" showInputMessage="1" showErrorMessage="1" sqref="C5" xr:uid="{7EC0B00A-21AC-4AE3-8495-8E16E1836C0C}">
      <formula1>$C$5</formula1>
    </dataValidation>
    <dataValidation type="list" allowBlank="1" showInputMessage="1" showErrorMessage="1" sqref="C6:C11" xr:uid="{19225291-0890-413B-891C-D1FF1A65894E}">
      <formula1>$K$21:$K$22</formula1>
    </dataValidation>
    <dataValidation type="list" allowBlank="1" showInputMessage="1" showErrorMessage="1" sqref="D6:D11" xr:uid="{FE5E65C7-B9F1-4CC3-ABCF-BD796626D179}">
      <formula1>$L$21:$L$23</formula1>
    </dataValidation>
    <dataValidation type="list" allowBlank="1" showInputMessage="1" showErrorMessage="1" sqref="E6:E11" xr:uid="{EB77611C-0568-49D4-9A75-D24D31159FF1}">
      <formula1>$M$21:$M$23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014A1-179D-4536-955C-726FEFEB8065}">
  <dimension ref="B2:N9"/>
  <sheetViews>
    <sheetView zoomScale="85" zoomScaleNormal="85" workbookViewId="0">
      <selection activeCell="L7" sqref="L7"/>
    </sheetView>
  </sheetViews>
  <sheetFormatPr defaultColWidth="8.7109375" defaultRowHeight="15.75" x14ac:dyDescent="0.25"/>
  <cols>
    <col min="1" max="1" width="8.7109375" style="23"/>
    <col min="2" max="2" width="9.85546875" style="23" bestFit="1" customWidth="1"/>
    <col min="3" max="3" width="14.5703125" style="23" bestFit="1" customWidth="1"/>
    <col min="4" max="4" width="12.42578125" style="23" customWidth="1"/>
    <col min="5" max="5" width="13.85546875" style="23" bestFit="1" customWidth="1"/>
    <col min="6" max="6" width="15.5703125" style="23" customWidth="1"/>
    <col min="7" max="7" width="18" style="23" bestFit="1" customWidth="1"/>
    <col min="8" max="8" width="13.85546875" style="23" bestFit="1" customWidth="1"/>
    <col min="9" max="9" width="12.5703125" style="23" bestFit="1" customWidth="1"/>
    <col min="10" max="11" width="9.42578125" style="23" bestFit="1" customWidth="1"/>
    <col min="12" max="12" width="11" style="23" bestFit="1" customWidth="1"/>
    <col min="13" max="14" width="16.42578125" style="23" bestFit="1" customWidth="1"/>
    <col min="15" max="15" width="11.85546875" style="23" bestFit="1" customWidth="1"/>
    <col min="16" max="16384" width="8.7109375" style="23"/>
  </cols>
  <sheetData>
    <row r="2" spans="2:14" ht="16.5" thickBot="1" x14ac:dyDescent="0.3"/>
    <row r="3" spans="2:14" x14ac:dyDescent="0.25">
      <c r="B3" s="38"/>
      <c r="C3" s="152" t="s">
        <v>122</v>
      </c>
      <c r="D3" s="153"/>
      <c r="E3" s="153"/>
      <c r="F3" s="153"/>
      <c r="G3" s="154"/>
      <c r="K3" s="158" t="s">
        <v>132</v>
      </c>
      <c r="L3" s="159"/>
      <c r="M3" s="159"/>
      <c r="N3" s="160"/>
    </row>
    <row r="4" spans="2:14" ht="16.5" thickBot="1" x14ac:dyDescent="0.3">
      <c r="C4" s="155"/>
      <c r="D4" s="156"/>
      <c r="E4" s="156"/>
      <c r="F4" s="156"/>
      <c r="G4" s="157"/>
      <c r="K4" s="161"/>
      <c r="L4" s="162"/>
      <c r="M4" s="162"/>
      <c r="N4" s="163"/>
    </row>
    <row r="6" spans="2:14" ht="42.75" x14ac:dyDescent="0.25">
      <c r="B6" s="24" t="s">
        <v>3</v>
      </c>
      <c r="C6" s="24" t="s">
        <v>2</v>
      </c>
      <c r="D6" s="24" t="s">
        <v>109</v>
      </c>
      <c r="E6" s="24" t="s">
        <v>55</v>
      </c>
      <c r="F6" s="24" t="s">
        <v>56</v>
      </c>
      <c r="G6" s="24" t="s">
        <v>57</v>
      </c>
      <c r="H6" s="24" t="s">
        <v>58</v>
      </c>
      <c r="K6" s="24" t="s">
        <v>3</v>
      </c>
      <c r="L6" s="39" t="s">
        <v>129</v>
      </c>
      <c r="M6" s="39" t="s">
        <v>130</v>
      </c>
      <c r="N6" s="39" t="s">
        <v>131</v>
      </c>
    </row>
    <row r="7" spans="2:14" x14ac:dyDescent="0.25">
      <c r="B7" s="22" t="s">
        <v>10</v>
      </c>
      <c r="C7" s="22" t="s">
        <v>14</v>
      </c>
      <c r="D7" s="22">
        <f>COUNTIF('IMPLEMENTASI QUALITY CONTROL'!$E$5:$E$29,"Vendor A")</f>
        <v>2</v>
      </c>
      <c r="E7" s="25">
        <f>SUMIF('IMPLEMENTASI QUALITY CONTROL'!$E$5:$E$29,B7,'IMPLEMENTASI QUALITY CONTROL'!$G$5:$G$29)</f>
        <v>10</v>
      </c>
      <c r="F7" s="22">
        <f>SUMIF('IMPLEMENTASI QUALITY CONTROL'!$E$5:$E$29,B7,'IMPLEMENTASI QUALITY CONTROL'!$K$5:$K$29)</f>
        <v>3</v>
      </c>
      <c r="G7" s="22">
        <f>COUNTIFS('IMPLEMENTASI QUALITY CONTROL'!$E$5:$E$29,B7,'IMPLEMENTASI QUALITY CONTROL'!$Q$5:$Q$29,"LOLOS")</f>
        <v>1</v>
      </c>
      <c r="H7" s="22">
        <f>COUNTIFS('IMPLEMENTASI QUALITY CONTROL'!$E$5:$E$29,B7,'IMPLEMENTASI QUALITY CONTROL'!$Q$5:$Q$29,"RETURN")</f>
        <v>1</v>
      </c>
      <c r="K7" s="22" t="s">
        <v>10</v>
      </c>
      <c r="L7" s="22">
        <f>COUNTIF('IMPLEMENTASI QUALITY CONTROL'!E5:E29,"Vendor A")</f>
        <v>2</v>
      </c>
      <c r="M7" s="22">
        <f>COUNTIFS('IMPLEMENTASI QUALITY CONTROL'!E5:E29,"Vendor A",'IMPLEMENTASI QUALITY CONTROL'!T5:T29,"DELAY")</f>
        <v>0</v>
      </c>
      <c r="N7" s="22">
        <f>COUNTIFS('IMPLEMENTASI QUALITY CONTROL'!E5:E29,"Vendor A",'IMPLEMENTASI QUALITY CONTROL'!T5:T29,"TEPAT WAKTU")</f>
        <v>2</v>
      </c>
    </row>
    <row r="8" spans="2:14" x14ac:dyDescent="0.25">
      <c r="B8" s="22" t="s">
        <v>11</v>
      </c>
      <c r="C8" s="22" t="s">
        <v>15</v>
      </c>
      <c r="D8" s="22">
        <f>COUNTIF('IMPLEMENTASI QUALITY CONTROL'!$E$5:$E$29,"Vendor B")</f>
        <v>2</v>
      </c>
      <c r="E8" s="22">
        <f>SUMIF('IMPLEMENTASI QUALITY CONTROL'!$E$5:$E$29,B8,'IMPLEMENTASI QUALITY CONTROL'!$G$5:$G$29)</f>
        <v>63</v>
      </c>
      <c r="F8" s="22">
        <f>SUMIF('IMPLEMENTASI QUALITY CONTROL'!$E$5:$E$29,B8,'IMPLEMENTASI QUALITY CONTROL'!$K$5:$K$29)</f>
        <v>2</v>
      </c>
      <c r="G8" s="22">
        <f>COUNTIFS('IMPLEMENTASI QUALITY CONTROL'!$E$5:$E$29,B8,'IMPLEMENTASI QUALITY CONTROL'!$Q$5:$Q$29,"LOLOS")</f>
        <v>2</v>
      </c>
      <c r="H8" s="22">
        <f>COUNTIFS('IMPLEMENTASI QUALITY CONTROL'!$E$5:$E$29,B8,'IMPLEMENTASI QUALITY CONTROL'!$Q$5:$Q$29,"RETURN")</f>
        <v>0</v>
      </c>
      <c r="K8" s="22" t="s">
        <v>11</v>
      </c>
      <c r="L8" s="22">
        <f>COUNTIF('IMPLEMENTASI QUALITY CONTROL'!E5:E29,"Vendor B")</f>
        <v>2</v>
      </c>
      <c r="M8" s="22">
        <f>COUNTIFS('IMPLEMENTASI QUALITY CONTROL'!E5:E29,"Vendor B",'IMPLEMENTASI QUALITY CONTROL'!T5:T29,"DELAY")</f>
        <v>1</v>
      </c>
      <c r="N8" s="22">
        <f>COUNTIFS('IMPLEMENTASI QUALITY CONTROL'!E5:E29,"Vendor B",'IMPLEMENTASI QUALITY CONTROL'!T5:T29,"TEPAT WAKTU")</f>
        <v>1</v>
      </c>
    </row>
    <row r="9" spans="2:14" x14ac:dyDescent="0.25">
      <c r="B9" s="22" t="s">
        <v>13</v>
      </c>
      <c r="C9" s="22" t="s">
        <v>16</v>
      </c>
      <c r="D9" s="22">
        <f>COUNTIF('IMPLEMENTASI QUALITY CONTROL'!$E$5:$E$29,"Vendor C")</f>
        <v>2</v>
      </c>
      <c r="E9" s="22">
        <f>SUMIF('IMPLEMENTASI QUALITY CONTROL'!$E$5:$E$29,B9,'IMPLEMENTASI QUALITY CONTROL'!$G$5:$G$29)</f>
        <v>23</v>
      </c>
      <c r="F9" s="22">
        <f>SUMIF('IMPLEMENTASI QUALITY CONTROL'!$E$5:$E$29,B9,'IMPLEMENTASI QUALITY CONTROL'!$K$5:$K$29)</f>
        <v>22</v>
      </c>
      <c r="G9" s="22">
        <f>COUNTIFS('IMPLEMENTASI QUALITY CONTROL'!$E$5:$E$29,B9,'IMPLEMENTASI QUALITY CONTROL'!$Q$5:$Q$29,"LOLOS")</f>
        <v>0</v>
      </c>
      <c r="H9" s="22">
        <f>COUNTIFS('IMPLEMENTASI QUALITY CONTROL'!$E$5:$E$29,B9,'IMPLEMENTASI QUALITY CONTROL'!$Q$5:$Q$29,"RETURN")</f>
        <v>2</v>
      </c>
      <c r="K9" s="22" t="s">
        <v>13</v>
      </c>
      <c r="L9" s="22">
        <f>COUNTIF('IMPLEMENTASI QUALITY CONTROL'!E5:E29,"Vendor C")</f>
        <v>2</v>
      </c>
      <c r="M9" s="22">
        <f>COUNTIFS('IMPLEMENTASI QUALITY CONTROL'!E5:E29,"Vendor C",'IMPLEMENTASI QUALITY CONTROL'!T5:T29,"DELAY")</f>
        <v>2</v>
      </c>
      <c r="N9" s="22">
        <f>COUNTIFS('IMPLEMENTASI QUALITY CONTROL'!E5:E29,"Vendor C",'IMPLEMENTASI QUALITY CONTROL'!T5:T29,"TEPAT WAKTU")</f>
        <v>0</v>
      </c>
    </row>
  </sheetData>
  <mergeCells count="2">
    <mergeCell ref="C3:G4"/>
    <mergeCell ref="K3:N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3FA21-9284-4F38-879B-2539DE9C91F3}">
  <dimension ref="D3:L25"/>
  <sheetViews>
    <sheetView topLeftCell="A4" zoomScale="85" zoomScaleNormal="85" workbookViewId="0">
      <selection activeCell="J13" sqref="J13"/>
    </sheetView>
  </sheetViews>
  <sheetFormatPr defaultColWidth="8.7109375" defaultRowHeight="15.75" x14ac:dyDescent="0.25"/>
  <cols>
    <col min="1" max="1" width="8.7109375" style="30"/>
    <col min="2" max="2" width="17.85546875" style="30" bestFit="1" customWidth="1"/>
    <col min="3" max="3" width="16.42578125" style="30" customWidth="1"/>
    <col min="4" max="4" width="9.42578125" style="30" bestFit="1" customWidth="1"/>
    <col min="5" max="5" width="16.42578125" style="30" bestFit="1" customWidth="1"/>
    <col min="6" max="6" width="14.7109375" style="30" bestFit="1" customWidth="1"/>
    <col min="7" max="7" width="15.85546875" style="30" bestFit="1" customWidth="1"/>
    <col min="8" max="8" width="12.28515625" style="30" bestFit="1" customWidth="1"/>
    <col min="9" max="9" width="13.42578125" style="30" bestFit="1" customWidth="1"/>
    <col min="10" max="10" width="17.42578125" style="30" bestFit="1" customWidth="1"/>
    <col min="11" max="11" width="10.140625" style="30" bestFit="1" customWidth="1"/>
    <col min="12" max="12" width="8.7109375" style="30"/>
    <col min="13" max="13" width="9" style="30" bestFit="1" customWidth="1"/>
    <col min="14" max="16384" width="8.7109375" style="30"/>
  </cols>
  <sheetData>
    <row r="3" spans="4:9" ht="16.5" thickBot="1" x14ac:dyDescent="0.3"/>
    <row r="4" spans="4:9" x14ac:dyDescent="0.25">
      <c r="E4" s="66" t="s">
        <v>137</v>
      </c>
      <c r="F4" s="67"/>
      <c r="G4" s="67"/>
      <c r="H4" s="68"/>
    </row>
    <row r="5" spans="4:9" ht="16.5" thickBot="1" x14ac:dyDescent="0.3">
      <c r="E5" s="69"/>
      <c r="F5" s="70"/>
      <c r="G5" s="70"/>
      <c r="H5" s="71"/>
    </row>
    <row r="7" spans="4:9" x14ac:dyDescent="0.25">
      <c r="D7" s="31" t="s">
        <v>3</v>
      </c>
      <c r="E7" s="31" t="s">
        <v>95</v>
      </c>
      <c r="F7" s="31" t="s">
        <v>96</v>
      </c>
      <c r="G7" s="31" t="s">
        <v>97</v>
      </c>
      <c r="H7" s="31" t="s">
        <v>98</v>
      </c>
      <c r="I7" s="31" t="s">
        <v>99</v>
      </c>
    </row>
    <row r="8" spans="4:9" x14ac:dyDescent="0.25">
      <c r="D8" s="9" t="s">
        <v>10</v>
      </c>
      <c r="E8" s="20">
        <f>'ADMINISTRASI DEFECT'!D7</f>
        <v>2</v>
      </c>
      <c r="F8" s="20">
        <f>'ADMINISTRASI DEFECT'!H7</f>
        <v>1</v>
      </c>
      <c r="G8" s="36">
        <f>'ADMINISTRASI DEFECT'!L7</f>
        <v>2</v>
      </c>
      <c r="H8" s="36">
        <f>'ADMINISTRASI DEFECT'!N7</f>
        <v>2</v>
      </c>
      <c r="I8" s="37">
        <v>75</v>
      </c>
    </row>
    <row r="9" spans="4:9" x14ac:dyDescent="0.25">
      <c r="D9" s="9" t="s">
        <v>11</v>
      </c>
      <c r="E9" s="20">
        <f>'ADMINISTRASI DEFECT'!D8</f>
        <v>2</v>
      </c>
      <c r="F9" s="20">
        <f>'ADMINISTRASI DEFECT'!H8</f>
        <v>0</v>
      </c>
      <c r="G9" s="36">
        <f>'ADMINISTRASI DEFECT'!M8</f>
        <v>1</v>
      </c>
      <c r="H9" s="36">
        <f>'ADMINISTRASI DEFECT'!N8</f>
        <v>1</v>
      </c>
      <c r="I9" s="37">
        <v>73</v>
      </c>
    </row>
    <row r="10" spans="4:9" x14ac:dyDescent="0.25">
      <c r="D10" s="9" t="s">
        <v>13</v>
      </c>
      <c r="E10" s="20">
        <f>'ADMINISTRASI DEFECT'!D9</f>
        <v>2</v>
      </c>
      <c r="F10" s="20">
        <f>'ADMINISTRASI DEFECT'!H9</f>
        <v>2</v>
      </c>
      <c r="G10" s="36">
        <f>'ADMINISTRASI DEFECT'!M9</f>
        <v>2</v>
      </c>
      <c r="H10" s="36">
        <f>'ADMINISTRASI DEFECT'!N9</f>
        <v>0</v>
      </c>
      <c r="I10" s="37">
        <v>72</v>
      </c>
    </row>
    <row r="18" spans="4:12" ht="16.5" thickBot="1" x14ac:dyDescent="0.3"/>
    <row r="19" spans="4:12" x14ac:dyDescent="0.25">
      <c r="E19" s="66" t="s">
        <v>136</v>
      </c>
      <c r="F19" s="67"/>
      <c r="G19" s="67"/>
      <c r="H19" s="68"/>
      <c r="K19" s="72" t="s">
        <v>138</v>
      </c>
      <c r="L19" s="73"/>
    </row>
    <row r="20" spans="4:12" ht="16.5" thickBot="1" x14ac:dyDescent="0.3">
      <c r="E20" s="69"/>
      <c r="F20" s="70"/>
      <c r="G20" s="70"/>
      <c r="H20" s="71"/>
      <c r="K20" s="74"/>
      <c r="L20" s="75"/>
    </row>
    <row r="22" spans="4:12" x14ac:dyDescent="0.25">
      <c r="D22" s="8" t="s">
        <v>3</v>
      </c>
      <c r="E22" s="8" t="s">
        <v>90</v>
      </c>
      <c r="F22" s="8" t="s">
        <v>91</v>
      </c>
      <c r="G22" s="8" t="s">
        <v>92</v>
      </c>
      <c r="H22" s="8" t="s">
        <v>93</v>
      </c>
      <c r="I22" s="8" t="s">
        <v>94</v>
      </c>
      <c r="K22" s="9" t="str">
        <f>E22</f>
        <v>Quality</v>
      </c>
      <c r="L22" s="32">
        <v>0.5</v>
      </c>
    </row>
    <row r="23" spans="4:12" x14ac:dyDescent="0.25">
      <c r="D23" s="9" t="str">
        <f>D8</f>
        <v>Vendor A</v>
      </c>
      <c r="E23" s="40">
        <f>((E8-F8)/E8)*100</f>
        <v>50</v>
      </c>
      <c r="F23" s="9">
        <f>((H8/G8)*100)</f>
        <v>100</v>
      </c>
      <c r="G23" s="9">
        <f>((I10/I8)*100)</f>
        <v>96</v>
      </c>
      <c r="H23" s="9">
        <f>(E23*L22)+(F23*L23)+(G23*L24)</f>
        <v>74.2</v>
      </c>
      <c r="I23" s="9">
        <f>RANK(H23,$H$23:$H$25,0)</f>
        <v>2</v>
      </c>
      <c r="K23" s="9" t="str">
        <f>F22</f>
        <v>Delivery</v>
      </c>
      <c r="L23" s="32">
        <v>0.3</v>
      </c>
    </row>
    <row r="24" spans="4:12" x14ac:dyDescent="0.25">
      <c r="D24" s="9" t="str">
        <f>D9</f>
        <v>Vendor B</v>
      </c>
      <c r="E24" s="40">
        <f>((E9-F9)/E9)*100</f>
        <v>100</v>
      </c>
      <c r="F24" s="9">
        <f>((H9/G9)*100)</f>
        <v>100</v>
      </c>
      <c r="G24" s="40">
        <f>((I10/I9)*100)</f>
        <v>98.630136986301366</v>
      </c>
      <c r="H24" s="40">
        <f>(E24*L22)+(F24*L23)+(G24*L24)</f>
        <v>99.726027397260282</v>
      </c>
      <c r="I24" s="9">
        <f>RANK(H24,$H$23:$H$25,0)</f>
        <v>1</v>
      </c>
      <c r="K24" s="9" t="str">
        <f>G22</f>
        <v>Price</v>
      </c>
      <c r="L24" s="32">
        <v>0.2</v>
      </c>
    </row>
    <row r="25" spans="4:12" x14ac:dyDescent="0.25">
      <c r="D25" s="9" t="str">
        <f>D10</f>
        <v>Vendor C</v>
      </c>
      <c r="E25" s="40">
        <f>((E10-F10)/E10)*100</f>
        <v>0</v>
      </c>
      <c r="F25" s="9">
        <f>((H10/G10)*100)</f>
        <v>0</v>
      </c>
      <c r="G25" s="9">
        <f>((I10/I10)*100)</f>
        <v>100</v>
      </c>
      <c r="H25" s="9">
        <f>(E25*L22)+(F25*L23)+(G25*L24)</f>
        <v>20</v>
      </c>
      <c r="I25" s="9">
        <f>RANK(H25,$H$23:$H$25,0)</f>
        <v>3</v>
      </c>
    </row>
  </sheetData>
  <mergeCells count="3">
    <mergeCell ref="E4:H5"/>
    <mergeCell ref="E19:H20"/>
    <mergeCell ref="K19:L2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F980D-7AE5-429A-849F-FA28295604D6}">
  <dimension ref="E4:BU121"/>
  <sheetViews>
    <sheetView topLeftCell="A10" zoomScale="40" zoomScaleNormal="40" zoomScaleSheetLayoutView="29" workbookViewId="0">
      <selection activeCell="AR30" sqref="AR30"/>
    </sheetView>
  </sheetViews>
  <sheetFormatPr defaultColWidth="8.7109375" defaultRowHeight="15.75" x14ac:dyDescent="0.25"/>
  <cols>
    <col min="1" max="7" width="8.7109375" style="23"/>
    <col min="8" max="8" width="8.7109375" style="23" customWidth="1"/>
    <col min="9" max="21" width="8.7109375" style="23"/>
    <col min="22" max="22" width="9.7109375" style="23" customWidth="1"/>
    <col min="23" max="26" width="8.7109375" style="23"/>
    <col min="27" max="27" width="14.85546875" style="23" bestFit="1" customWidth="1"/>
    <col min="28" max="28" width="13.42578125" style="23" bestFit="1" customWidth="1"/>
    <col min="29" max="29" width="9.28515625" style="23" bestFit="1" customWidth="1"/>
    <col min="30" max="30" width="12.140625" style="23" bestFit="1" customWidth="1"/>
    <col min="31" max="31" width="8.7109375" style="23"/>
    <col min="32" max="32" width="9.140625" style="23" bestFit="1" customWidth="1"/>
    <col min="33" max="67" width="8.7109375" style="23"/>
    <col min="68" max="68" width="15.42578125" style="23" bestFit="1" customWidth="1"/>
    <col min="69" max="72" width="8.7109375" style="23"/>
    <col min="73" max="73" width="9.140625" style="23" bestFit="1" customWidth="1"/>
    <col min="74" max="16384" width="8.7109375" style="23"/>
  </cols>
  <sheetData>
    <row r="4" spans="5:38" ht="16.5" thickBot="1" x14ac:dyDescent="0.3"/>
    <row r="5" spans="5:38" x14ac:dyDescent="0.25">
      <c r="K5" s="164" t="s">
        <v>270</v>
      </c>
      <c r="L5" s="165"/>
      <c r="M5" s="165"/>
      <c r="N5" s="165"/>
      <c r="O5" s="165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65"/>
      <c r="AA5" s="165"/>
      <c r="AB5" s="165"/>
      <c r="AC5" s="165"/>
      <c r="AD5" s="166"/>
    </row>
    <row r="6" spans="5:38" x14ac:dyDescent="0.25">
      <c r="K6" s="167"/>
      <c r="L6" s="168"/>
      <c r="M6" s="168"/>
      <c r="N6" s="168"/>
      <c r="O6" s="168"/>
      <c r="P6" s="168"/>
      <c r="Q6" s="168"/>
      <c r="R6" s="168"/>
      <c r="S6" s="168"/>
      <c r="T6" s="168"/>
      <c r="U6" s="168"/>
      <c r="V6" s="168"/>
      <c r="W6" s="168"/>
      <c r="X6" s="168"/>
      <c r="Y6" s="168"/>
      <c r="Z6" s="168"/>
      <c r="AA6" s="168"/>
      <c r="AB6" s="168"/>
      <c r="AC6" s="168"/>
      <c r="AD6" s="169"/>
    </row>
    <row r="7" spans="5:38" x14ac:dyDescent="0.25">
      <c r="K7" s="167"/>
      <c r="L7" s="168"/>
      <c r="M7" s="168"/>
      <c r="N7" s="168"/>
      <c r="O7" s="168"/>
      <c r="P7" s="168"/>
      <c r="Q7" s="168"/>
      <c r="R7" s="168"/>
      <c r="S7" s="168"/>
      <c r="T7" s="168"/>
      <c r="U7" s="168"/>
      <c r="V7" s="168"/>
      <c r="W7" s="168"/>
      <c r="X7" s="168"/>
      <c r="Y7" s="168"/>
      <c r="Z7" s="168"/>
      <c r="AA7" s="168"/>
      <c r="AB7" s="168"/>
      <c r="AC7" s="168"/>
      <c r="AD7" s="169"/>
    </row>
    <row r="8" spans="5:38" ht="15.6" customHeight="1" x14ac:dyDescent="0.25">
      <c r="K8" s="167"/>
      <c r="L8" s="168"/>
      <c r="M8" s="168"/>
      <c r="N8" s="168"/>
      <c r="O8" s="168"/>
      <c r="P8" s="168"/>
      <c r="Q8" s="168"/>
      <c r="R8" s="168"/>
      <c r="S8" s="168"/>
      <c r="T8" s="168"/>
      <c r="U8" s="168"/>
      <c r="V8" s="168"/>
      <c r="W8" s="168"/>
      <c r="X8" s="168"/>
      <c r="Y8" s="168"/>
      <c r="Z8" s="168"/>
      <c r="AA8" s="168"/>
      <c r="AB8" s="168"/>
      <c r="AC8" s="168"/>
      <c r="AD8" s="169"/>
    </row>
    <row r="9" spans="5:38" ht="15.6" customHeight="1" thickBot="1" x14ac:dyDescent="0.3">
      <c r="K9" s="170"/>
      <c r="L9" s="171"/>
      <c r="M9" s="171"/>
      <c r="N9" s="171"/>
      <c r="O9" s="171"/>
      <c r="P9" s="171"/>
      <c r="Q9" s="171"/>
      <c r="R9" s="171"/>
      <c r="S9" s="171"/>
      <c r="T9" s="171"/>
      <c r="U9" s="171"/>
      <c r="V9" s="171"/>
      <c r="W9" s="171"/>
      <c r="X9" s="171"/>
      <c r="Y9" s="171"/>
      <c r="Z9" s="171"/>
      <c r="AA9" s="171"/>
      <c r="AB9" s="171"/>
      <c r="AC9" s="171"/>
      <c r="AD9" s="172"/>
    </row>
    <row r="12" spans="5:38" ht="15.6" customHeight="1" thickBot="1" x14ac:dyDescent="0.3">
      <c r="G12" s="54"/>
      <c r="H12" s="54"/>
    </row>
    <row r="13" spans="5:38" ht="15.6" customHeight="1" x14ac:dyDescent="0.25">
      <c r="E13" s="58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60"/>
    </row>
    <row r="14" spans="5:38" x14ac:dyDescent="0.25">
      <c r="E14" s="61"/>
      <c r="AL14" s="62"/>
    </row>
    <row r="15" spans="5:38" x14ac:dyDescent="0.25">
      <c r="E15" s="61"/>
      <c r="AL15" s="62"/>
    </row>
    <row r="16" spans="5:38" ht="16.5" thickBot="1" x14ac:dyDescent="0.3">
      <c r="E16" s="61"/>
      <c r="AL16" s="62"/>
    </row>
    <row r="17" spans="5:71" ht="15.95" customHeight="1" thickBot="1" x14ac:dyDescent="0.3">
      <c r="E17" s="61"/>
      <c r="H17" s="177" t="s">
        <v>268</v>
      </c>
      <c r="I17" s="178"/>
      <c r="J17" s="178"/>
      <c r="K17" s="178"/>
      <c r="L17" s="178"/>
      <c r="M17" s="178"/>
      <c r="N17" s="179"/>
      <c r="Q17" s="177" t="s">
        <v>269</v>
      </c>
      <c r="R17" s="178"/>
      <c r="S17" s="178"/>
      <c r="T17" s="178"/>
      <c r="U17" s="178"/>
      <c r="V17" s="179"/>
      <c r="AL17" s="62"/>
    </row>
    <row r="18" spans="5:71" ht="15.95" customHeight="1" thickBot="1" x14ac:dyDescent="0.3">
      <c r="E18" s="61"/>
      <c r="H18" s="180"/>
      <c r="I18" s="181"/>
      <c r="J18" s="181"/>
      <c r="K18" s="181"/>
      <c r="L18" s="181"/>
      <c r="M18" s="181"/>
      <c r="N18" s="182"/>
      <c r="Q18" s="180"/>
      <c r="R18" s="181"/>
      <c r="S18" s="181"/>
      <c r="T18" s="181"/>
      <c r="U18" s="181"/>
      <c r="V18" s="182"/>
      <c r="AL18" s="62"/>
      <c r="BO18" s="152" t="s">
        <v>264</v>
      </c>
      <c r="BP18" s="153"/>
      <c r="BQ18" s="153"/>
      <c r="BR18" s="205"/>
      <c r="BS18" s="38"/>
    </row>
    <row r="19" spans="5:71" ht="47.25" x14ac:dyDescent="0.25">
      <c r="E19" s="61"/>
      <c r="H19" s="183" t="str">
        <f>INDEX(BP40:BP42,MATCH(MAX(BT40:BT42),BT40:BT42,0))</f>
        <v>Vendor B</v>
      </c>
      <c r="I19" s="184"/>
      <c r="J19" s="184"/>
      <c r="K19" s="184"/>
      <c r="L19" s="184"/>
      <c r="M19" s="184"/>
      <c r="N19" s="185"/>
      <c r="Q19" s="195" t="str">
        <f>BP30</f>
        <v>K-1-PUTIH</v>
      </c>
      <c r="R19" s="196"/>
      <c r="S19" s="192" t="str">
        <f>BP31</f>
        <v>K-1-HITAM</v>
      </c>
      <c r="T19" s="194"/>
      <c r="U19" s="192" t="str">
        <f>BP32</f>
        <v>K-1-ABU-ABU</v>
      </c>
      <c r="V19" s="193"/>
      <c r="AL19" s="62"/>
      <c r="BO19" s="84" t="s">
        <v>3</v>
      </c>
      <c r="BP19" s="84"/>
      <c r="BQ19" s="24" t="s">
        <v>98</v>
      </c>
      <c r="BR19" s="52" t="s">
        <v>97</v>
      </c>
    </row>
    <row r="20" spans="5:71" x14ac:dyDescent="0.25">
      <c r="E20" s="61"/>
      <c r="H20" s="186"/>
      <c r="I20" s="187"/>
      <c r="J20" s="187"/>
      <c r="K20" s="187"/>
      <c r="L20" s="187"/>
      <c r="M20" s="187"/>
      <c r="N20" s="188"/>
      <c r="Q20" s="201">
        <f>BQ30</f>
        <v>57</v>
      </c>
      <c r="R20" s="197"/>
      <c r="S20" s="197">
        <f>BQ31</f>
        <v>90</v>
      </c>
      <c r="T20" s="197"/>
      <c r="U20" s="197">
        <f>BQ32</f>
        <v>98</v>
      </c>
      <c r="V20" s="198"/>
      <c r="AL20" s="62"/>
      <c r="BO20" s="176" t="s">
        <v>10</v>
      </c>
      <c r="BP20" s="176"/>
      <c r="BQ20" s="22">
        <f>'ADMINISTRASI DEFECT'!N7</f>
        <v>2</v>
      </c>
      <c r="BR20" s="22">
        <f>'ADMINISTRASI DEFECT'!L7</f>
        <v>2</v>
      </c>
    </row>
    <row r="21" spans="5:71" x14ac:dyDescent="0.25">
      <c r="E21" s="61"/>
      <c r="H21" s="186"/>
      <c r="I21" s="187"/>
      <c r="J21" s="187"/>
      <c r="K21" s="187"/>
      <c r="L21" s="187"/>
      <c r="M21" s="187"/>
      <c r="N21" s="188"/>
      <c r="Q21" s="201"/>
      <c r="R21" s="197"/>
      <c r="S21" s="197"/>
      <c r="T21" s="197"/>
      <c r="U21" s="197"/>
      <c r="V21" s="198"/>
      <c r="AL21" s="62"/>
      <c r="BO21" s="176" t="s">
        <v>11</v>
      </c>
      <c r="BP21" s="176"/>
      <c r="BQ21" s="22">
        <f>'ADMINISTRASI DEFECT'!N8</f>
        <v>1</v>
      </c>
      <c r="BR21" s="22">
        <f>'ADMINISTRASI DEFECT'!L8</f>
        <v>2</v>
      </c>
    </row>
    <row r="22" spans="5:71" ht="16.5" thickBot="1" x14ac:dyDescent="0.3">
      <c r="E22" s="61"/>
      <c r="H22" s="189"/>
      <c r="I22" s="190"/>
      <c r="J22" s="190"/>
      <c r="K22" s="190"/>
      <c r="L22" s="190"/>
      <c r="M22" s="190"/>
      <c r="N22" s="191"/>
      <c r="Q22" s="202"/>
      <c r="R22" s="199"/>
      <c r="S22" s="199"/>
      <c r="T22" s="199"/>
      <c r="U22" s="199"/>
      <c r="V22" s="200"/>
      <c r="AL22" s="62"/>
      <c r="BO22" s="176" t="s">
        <v>13</v>
      </c>
      <c r="BP22" s="176"/>
      <c r="BQ22" s="53">
        <f>'ADMINISTRASI DEFECT'!N9</f>
        <v>0</v>
      </c>
      <c r="BR22" s="22">
        <f>'ADMINISTRASI DEFECT'!L9</f>
        <v>2</v>
      </c>
    </row>
    <row r="23" spans="5:71" x14ac:dyDescent="0.25">
      <c r="E23" s="61"/>
      <c r="AL23" s="62"/>
    </row>
    <row r="24" spans="5:71" x14ac:dyDescent="0.25">
      <c r="E24" s="61"/>
      <c r="AL24" s="62"/>
    </row>
    <row r="25" spans="5:71" x14ac:dyDescent="0.25">
      <c r="E25" s="61"/>
      <c r="AL25" s="62"/>
    </row>
    <row r="26" spans="5:71" x14ac:dyDescent="0.25">
      <c r="E26" s="61"/>
      <c r="AL26" s="62"/>
    </row>
    <row r="27" spans="5:71" ht="16.5" thickBot="1" x14ac:dyDescent="0.3">
      <c r="E27" s="61"/>
      <c r="AL27" s="62"/>
    </row>
    <row r="28" spans="5:71" ht="16.5" thickBot="1" x14ac:dyDescent="0.3">
      <c r="E28" s="61"/>
      <c r="AL28" s="62"/>
      <c r="BP28" s="203" t="s">
        <v>265</v>
      </c>
      <c r="BQ28" s="204"/>
      <c r="BR28" s="205"/>
    </row>
    <row r="29" spans="5:71" ht="47.25" x14ac:dyDescent="0.25">
      <c r="E29" s="61"/>
      <c r="AL29" s="62"/>
      <c r="BP29" s="52" t="s">
        <v>2</v>
      </c>
      <c r="BQ29" s="52" t="s">
        <v>6</v>
      </c>
      <c r="BR29" s="52" t="s">
        <v>8</v>
      </c>
    </row>
    <row r="30" spans="5:71" x14ac:dyDescent="0.25">
      <c r="E30" s="61"/>
      <c r="AL30" s="62"/>
      <c r="BP30" s="22" t="str">
        <f>'IMPLEMENTASI FIFO'!K8</f>
        <v>K-1-PUTIH</v>
      </c>
      <c r="BQ30" s="22">
        <f>'IMPLEMENTASI FIFO'!N8</f>
        <v>57</v>
      </c>
      <c r="BR30" s="22" t="str">
        <f>'IMPLEMENTASI FIFO'!O8</f>
        <v>AMAN</v>
      </c>
    </row>
    <row r="31" spans="5:71" x14ac:dyDescent="0.25">
      <c r="E31" s="61"/>
      <c r="AL31" s="62"/>
      <c r="BP31" s="22" t="str">
        <f>'IMPLEMENTASI FIFO'!K9</f>
        <v>K-1-HITAM</v>
      </c>
      <c r="BQ31" s="22">
        <f>'IMPLEMENTASI FIFO'!N9</f>
        <v>90</v>
      </c>
      <c r="BR31" s="22" t="str">
        <f>'IMPLEMENTASI FIFO'!O9</f>
        <v>AMAN</v>
      </c>
    </row>
    <row r="32" spans="5:71" x14ac:dyDescent="0.25">
      <c r="E32" s="61"/>
      <c r="AL32" s="62"/>
      <c r="BP32" s="22" t="str">
        <f>'IMPLEMENTASI FIFO'!K10</f>
        <v>K-1-ABU-ABU</v>
      </c>
      <c r="BQ32" s="22">
        <f>'IMPLEMENTASI FIFO'!N10</f>
        <v>98</v>
      </c>
      <c r="BR32" s="22" t="str">
        <f>'IMPLEMENTASI FIFO'!O10</f>
        <v>AMAN</v>
      </c>
    </row>
    <row r="33" spans="5:73" x14ac:dyDescent="0.25">
      <c r="E33" s="61"/>
      <c r="AL33" s="62"/>
    </row>
    <row r="34" spans="5:73" x14ac:dyDescent="0.25">
      <c r="E34" s="61"/>
      <c r="AL34" s="62"/>
    </row>
    <row r="35" spans="5:73" x14ac:dyDescent="0.25">
      <c r="E35" s="61"/>
      <c r="AL35" s="62"/>
    </row>
    <row r="36" spans="5:73" x14ac:dyDescent="0.25">
      <c r="E36" s="61"/>
      <c r="AL36" s="62"/>
    </row>
    <row r="37" spans="5:73" ht="16.5" thickBot="1" x14ac:dyDescent="0.3">
      <c r="E37" s="61"/>
      <c r="AL37" s="62"/>
    </row>
    <row r="38" spans="5:73" ht="16.5" thickBot="1" x14ac:dyDescent="0.3">
      <c r="E38" s="61"/>
      <c r="AL38" s="62"/>
      <c r="BP38" s="203" t="s">
        <v>263</v>
      </c>
      <c r="BQ38" s="204"/>
      <c r="BR38" s="204"/>
      <c r="BS38" s="204"/>
      <c r="BT38" s="204"/>
      <c r="BU38" s="205"/>
    </row>
    <row r="39" spans="5:73" ht="31.5" x14ac:dyDescent="0.25">
      <c r="E39" s="61"/>
      <c r="AL39" s="62"/>
      <c r="BP39" s="52" t="s">
        <v>3</v>
      </c>
      <c r="BQ39" s="52" t="s">
        <v>90</v>
      </c>
      <c r="BR39" s="52" t="s">
        <v>91</v>
      </c>
      <c r="BS39" s="52" t="s">
        <v>92</v>
      </c>
      <c r="BT39" s="52" t="s">
        <v>93</v>
      </c>
      <c r="BU39" s="52" t="s">
        <v>94</v>
      </c>
    </row>
    <row r="40" spans="5:73" x14ac:dyDescent="0.25">
      <c r="E40" s="61"/>
      <c r="AL40" s="62"/>
      <c r="BP40" s="22" t="str">
        <f>'IMPLEMENTASI VPI'!D23</f>
        <v>Vendor A</v>
      </c>
      <c r="BQ40" s="29">
        <f>'IMPLEMENTASI VPI'!E23</f>
        <v>50</v>
      </c>
      <c r="BR40" s="29">
        <f>'IMPLEMENTASI VPI'!F23</f>
        <v>100</v>
      </c>
      <c r="BS40" s="29">
        <f>'IMPLEMENTASI VPI'!G23</f>
        <v>96</v>
      </c>
      <c r="BT40" s="29">
        <f>'IMPLEMENTASI VPI'!H23</f>
        <v>74.2</v>
      </c>
      <c r="BU40" s="22">
        <f>'IMPLEMENTASI VPI'!I23</f>
        <v>2</v>
      </c>
    </row>
    <row r="41" spans="5:73" x14ac:dyDescent="0.25">
      <c r="E41" s="61"/>
      <c r="AL41" s="62"/>
      <c r="BP41" s="22" t="str">
        <f>'IMPLEMENTASI VPI'!D24</f>
        <v>Vendor B</v>
      </c>
      <c r="BQ41" s="29">
        <f>'IMPLEMENTASI VPI'!E24</f>
        <v>100</v>
      </c>
      <c r="BR41" s="29">
        <f>'IMPLEMENTASI VPI'!F24</f>
        <v>100</v>
      </c>
      <c r="BS41" s="29">
        <f>'IMPLEMENTASI VPI'!G24</f>
        <v>98.630136986301366</v>
      </c>
      <c r="BT41" s="29">
        <f>'IMPLEMENTASI VPI'!H24</f>
        <v>99.726027397260282</v>
      </c>
      <c r="BU41" s="22">
        <f>'IMPLEMENTASI VPI'!I24</f>
        <v>1</v>
      </c>
    </row>
    <row r="42" spans="5:73" x14ac:dyDescent="0.25">
      <c r="E42" s="61"/>
      <c r="AL42" s="62"/>
      <c r="BP42" s="22" t="str">
        <f>'IMPLEMENTASI VPI'!D25</f>
        <v>Vendor C</v>
      </c>
      <c r="BQ42" s="29">
        <f>'IMPLEMENTASI VPI'!E25</f>
        <v>0</v>
      </c>
      <c r="BR42" s="29">
        <f>'IMPLEMENTASI VPI'!F25</f>
        <v>0</v>
      </c>
      <c r="BS42" s="29">
        <f>'IMPLEMENTASI VPI'!G25</f>
        <v>100</v>
      </c>
      <c r="BT42" s="29">
        <f>'IMPLEMENTASI VPI'!H25</f>
        <v>20</v>
      </c>
      <c r="BU42" s="22">
        <f>'IMPLEMENTASI VPI'!I25</f>
        <v>3</v>
      </c>
    </row>
    <row r="43" spans="5:73" x14ac:dyDescent="0.25">
      <c r="E43" s="61"/>
      <c r="AL43" s="62"/>
    </row>
    <row r="44" spans="5:73" x14ac:dyDescent="0.25">
      <c r="E44" s="61"/>
      <c r="AL44" s="62"/>
    </row>
    <row r="45" spans="5:73" x14ac:dyDescent="0.25">
      <c r="E45" s="61"/>
      <c r="AL45" s="62"/>
    </row>
    <row r="46" spans="5:73" x14ac:dyDescent="0.25">
      <c r="E46" s="61"/>
      <c r="AL46" s="62"/>
    </row>
    <row r="47" spans="5:73" ht="16.5" thickBot="1" x14ac:dyDescent="0.3">
      <c r="E47" s="61"/>
      <c r="AL47" s="62"/>
    </row>
    <row r="48" spans="5:73" ht="16.5" thickBot="1" x14ac:dyDescent="0.3">
      <c r="E48" s="61"/>
      <c r="AL48" s="62"/>
      <c r="BP48" s="173" t="s">
        <v>267</v>
      </c>
      <c r="BQ48" s="174"/>
      <c r="BR48" s="174"/>
      <c r="BS48" s="175"/>
      <c r="BT48" s="55"/>
    </row>
    <row r="49" spans="5:71" ht="47.25" x14ac:dyDescent="0.25">
      <c r="E49" s="61"/>
      <c r="AL49" s="62"/>
      <c r="BP49" s="56" t="s">
        <v>3</v>
      </c>
      <c r="BQ49" s="56" t="s">
        <v>266</v>
      </c>
      <c r="BR49" s="56" t="s">
        <v>261</v>
      </c>
      <c r="BS49" s="56" t="s">
        <v>262</v>
      </c>
    </row>
    <row r="50" spans="5:71" x14ac:dyDescent="0.25">
      <c r="E50" s="61"/>
      <c r="AL50" s="62"/>
      <c r="BP50" s="57" t="str">
        <f>'ADMINISTRASI DEFECT'!B7</f>
        <v>Vendor A</v>
      </c>
      <c r="BQ50" s="57">
        <f>'ADMINISTRASI DEFECT'!D7</f>
        <v>2</v>
      </c>
      <c r="BR50" s="57">
        <f>'ADMINISTRASI DEFECT'!G7</f>
        <v>1</v>
      </c>
      <c r="BS50" s="57">
        <f>'ADMINISTRASI DEFECT'!H7</f>
        <v>1</v>
      </c>
    </row>
    <row r="51" spans="5:71" x14ac:dyDescent="0.25">
      <c r="E51" s="61"/>
      <c r="AL51" s="62"/>
      <c r="BP51" s="57" t="str">
        <f>'ADMINISTRASI DEFECT'!B8</f>
        <v>Vendor B</v>
      </c>
      <c r="BQ51" s="57">
        <f>'ADMINISTRASI DEFECT'!D8</f>
        <v>2</v>
      </c>
      <c r="BR51" s="57">
        <f>'ADMINISTRASI DEFECT'!G8</f>
        <v>2</v>
      </c>
      <c r="BS51" s="57">
        <f>'ADMINISTRASI DEFECT'!H8</f>
        <v>0</v>
      </c>
    </row>
    <row r="52" spans="5:71" x14ac:dyDescent="0.25">
      <c r="E52" s="61"/>
      <c r="AL52" s="62"/>
      <c r="BP52" s="57" t="str">
        <f>'ADMINISTRASI DEFECT'!B9</f>
        <v>Vendor C</v>
      </c>
      <c r="BQ52" s="57">
        <f>'ADMINISTRASI DEFECT'!D9</f>
        <v>2</v>
      </c>
      <c r="BR52" s="57">
        <f>'ADMINISTRASI DEFECT'!G9</f>
        <v>0</v>
      </c>
      <c r="BS52" s="57">
        <f>'ADMINISTRASI DEFECT'!H9</f>
        <v>2</v>
      </c>
    </row>
    <row r="53" spans="5:71" x14ac:dyDescent="0.25">
      <c r="E53" s="61"/>
      <c r="AL53" s="62"/>
    </row>
    <row r="54" spans="5:71" x14ac:dyDescent="0.25">
      <c r="E54" s="61"/>
      <c r="AL54" s="62"/>
    </row>
    <row r="55" spans="5:71" x14ac:dyDescent="0.25">
      <c r="E55" s="61"/>
      <c r="AL55" s="62"/>
    </row>
    <row r="56" spans="5:71" x14ac:dyDescent="0.25">
      <c r="E56" s="61"/>
      <c r="AL56" s="62"/>
    </row>
    <row r="57" spans="5:71" x14ac:dyDescent="0.25">
      <c r="E57" s="61"/>
      <c r="AL57" s="62"/>
    </row>
    <row r="58" spans="5:71" x14ac:dyDescent="0.25">
      <c r="E58" s="61"/>
      <c r="AL58" s="62"/>
    </row>
    <row r="59" spans="5:71" x14ac:dyDescent="0.25">
      <c r="E59" s="61"/>
      <c r="AL59" s="62"/>
    </row>
    <row r="60" spans="5:71" x14ac:dyDescent="0.25">
      <c r="E60" s="61"/>
      <c r="AL60" s="62"/>
    </row>
    <row r="61" spans="5:71" x14ac:dyDescent="0.25">
      <c r="E61" s="61"/>
      <c r="AL61" s="62"/>
    </row>
    <row r="62" spans="5:71" x14ac:dyDescent="0.25">
      <c r="E62" s="61"/>
      <c r="AL62" s="62"/>
    </row>
    <row r="63" spans="5:71" x14ac:dyDescent="0.25">
      <c r="E63" s="61"/>
      <c r="AL63" s="62"/>
    </row>
    <row r="64" spans="5:71" x14ac:dyDescent="0.25">
      <c r="E64" s="61"/>
      <c r="AL64" s="62"/>
    </row>
    <row r="65" spans="5:38" x14ac:dyDescent="0.25">
      <c r="E65" s="61"/>
      <c r="AL65" s="62"/>
    </row>
    <row r="66" spans="5:38" x14ac:dyDescent="0.25">
      <c r="E66" s="61"/>
      <c r="AL66" s="62"/>
    </row>
    <row r="67" spans="5:38" x14ac:dyDescent="0.25">
      <c r="E67" s="61"/>
      <c r="AL67" s="62"/>
    </row>
    <row r="68" spans="5:38" x14ac:dyDescent="0.25">
      <c r="E68" s="61"/>
      <c r="AL68" s="62"/>
    </row>
    <row r="69" spans="5:38" x14ac:dyDescent="0.25">
      <c r="E69" s="61"/>
      <c r="AL69" s="62"/>
    </row>
    <row r="70" spans="5:38" x14ac:dyDescent="0.25">
      <c r="E70" s="61"/>
      <c r="AL70" s="62"/>
    </row>
    <row r="71" spans="5:38" x14ac:dyDescent="0.25">
      <c r="E71" s="61"/>
      <c r="AL71" s="62"/>
    </row>
    <row r="72" spans="5:38" x14ac:dyDescent="0.25">
      <c r="E72" s="61"/>
      <c r="AL72" s="62"/>
    </row>
    <row r="73" spans="5:38" x14ac:dyDescent="0.25">
      <c r="E73" s="61"/>
      <c r="AL73" s="62"/>
    </row>
    <row r="74" spans="5:38" x14ac:dyDescent="0.25">
      <c r="E74" s="61"/>
      <c r="AL74" s="62"/>
    </row>
    <row r="75" spans="5:38" x14ac:dyDescent="0.25">
      <c r="E75" s="61"/>
      <c r="AL75" s="62"/>
    </row>
    <row r="76" spans="5:38" x14ac:dyDescent="0.25">
      <c r="E76" s="61"/>
      <c r="AL76" s="62"/>
    </row>
    <row r="77" spans="5:38" x14ac:dyDescent="0.25">
      <c r="E77" s="61"/>
      <c r="AL77" s="62"/>
    </row>
    <row r="78" spans="5:38" x14ac:dyDescent="0.25">
      <c r="E78" s="61"/>
      <c r="AL78" s="62"/>
    </row>
    <row r="79" spans="5:38" x14ac:dyDescent="0.25">
      <c r="E79" s="61"/>
      <c r="AL79" s="62"/>
    </row>
    <row r="80" spans="5:38" x14ac:dyDescent="0.25">
      <c r="E80" s="61"/>
      <c r="AL80" s="62"/>
    </row>
    <row r="81" spans="5:38" x14ac:dyDescent="0.25">
      <c r="E81" s="61"/>
      <c r="AL81" s="62"/>
    </row>
    <row r="82" spans="5:38" x14ac:dyDescent="0.25">
      <c r="E82" s="61"/>
      <c r="AL82" s="62"/>
    </row>
    <row r="83" spans="5:38" x14ac:dyDescent="0.25">
      <c r="E83" s="61"/>
      <c r="AL83" s="62"/>
    </row>
    <row r="84" spans="5:38" x14ac:dyDescent="0.25">
      <c r="E84" s="61"/>
      <c r="AL84" s="62"/>
    </row>
    <row r="85" spans="5:38" x14ac:dyDescent="0.25">
      <c r="E85" s="61"/>
      <c r="AL85" s="62"/>
    </row>
    <row r="86" spans="5:38" x14ac:dyDescent="0.25">
      <c r="E86" s="61"/>
      <c r="AL86" s="62"/>
    </row>
    <row r="87" spans="5:38" x14ac:dyDescent="0.25">
      <c r="E87" s="61"/>
      <c r="AL87" s="62"/>
    </row>
    <row r="88" spans="5:38" x14ac:dyDescent="0.25">
      <c r="E88" s="61"/>
      <c r="AL88" s="62"/>
    </row>
    <row r="89" spans="5:38" x14ac:dyDescent="0.25">
      <c r="E89" s="61"/>
      <c r="AL89" s="62"/>
    </row>
    <row r="90" spans="5:38" x14ac:dyDescent="0.25">
      <c r="E90" s="61"/>
      <c r="AL90" s="62"/>
    </row>
    <row r="91" spans="5:38" x14ac:dyDescent="0.25">
      <c r="E91" s="61"/>
      <c r="AL91" s="62"/>
    </row>
    <row r="92" spans="5:38" x14ac:dyDescent="0.25">
      <c r="E92" s="61"/>
      <c r="AL92" s="62"/>
    </row>
    <row r="93" spans="5:38" x14ac:dyDescent="0.25">
      <c r="E93" s="61"/>
      <c r="AL93" s="62"/>
    </row>
    <row r="94" spans="5:38" x14ac:dyDescent="0.25">
      <c r="E94" s="61"/>
      <c r="AL94" s="62"/>
    </row>
    <row r="95" spans="5:38" x14ac:dyDescent="0.25">
      <c r="E95" s="61"/>
      <c r="AL95" s="62"/>
    </row>
    <row r="96" spans="5:38" x14ac:dyDescent="0.25">
      <c r="E96" s="61"/>
      <c r="AL96" s="62"/>
    </row>
    <row r="97" spans="5:38" x14ac:dyDescent="0.25">
      <c r="E97" s="61"/>
      <c r="AL97" s="62"/>
    </row>
    <row r="98" spans="5:38" x14ac:dyDescent="0.25">
      <c r="E98" s="61"/>
      <c r="AL98" s="62"/>
    </row>
    <row r="99" spans="5:38" x14ac:dyDescent="0.25">
      <c r="E99" s="61"/>
      <c r="AL99" s="62"/>
    </row>
    <row r="100" spans="5:38" x14ac:dyDescent="0.25">
      <c r="E100" s="61"/>
      <c r="AL100" s="62"/>
    </row>
    <row r="101" spans="5:38" x14ac:dyDescent="0.25">
      <c r="E101" s="61"/>
      <c r="AL101" s="62"/>
    </row>
    <row r="102" spans="5:38" x14ac:dyDescent="0.25">
      <c r="E102" s="61"/>
      <c r="AL102" s="62"/>
    </row>
    <row r="103" spans="5:38" x14ac:dyDescent="0.25">
      <c r="E103" s="61"/>
      <c r="AL103" s="62"/>
    </row>
    <row r="104" spans="5:38" x14ac:dyDescent="0.25">
      <c r="E104" s="61"/>
      <c r="AL104" s="62"/>
    </row>
    <row r="105" spans="5:38" x14ac:dyDescent="0.25">
      <c r="E105" s="61"/>
      <c r="AL105" s="62"/>
    </row>
    <row r="106" spans="5:38" x14ac:dyDescent="0.25">
      <c r="E106" s="61"/>
      <c r="AL106" s="62"/>
    </row>
    <row r="107" spans="5:38" x14ac:dyDescent="0.25">
      <c r="E107" s="61"/>
      <c r="AL107" s="62"/>
    </row>
    <row r="108" spans="5:38" x14ac:dyDescent="0.25">
      <c r="E108" s="61"/>
      <c r="AL108" s="62"/>
    </row>
    <row r="109" spans="5:38" x14ac:dyDescent="0.25">
      <c r="E109" s="61"/>
      <c r="AL109" s="62"/>
    </row>
    <row r="110" spans="5:38" x14ac:dyDescent="0.25">
      <c r="E110" s="61"/>
      <c r="AL110" s="62"/>
    </row>
    <row r="111" spans="5:38" x14ac:dyDescent="0.25">
      <c r="E111" s="61"/>
      <c r="AL111" s="62"/>
    </row>
    <row r="112" spans="5:38" x14ac:dyDescent="0.25">
      <c r="E112" s="61"/>
      <c r="AL112" s="62"/>
    </row>
    <row r="113" spans="5:38" x14ac:dyDescent="0.25">
      <c r="E113" s="61"/>
      <c r="AL113" s="62"/>
    </row>
    <row r="114" spans="5:38" x14ac:dyDescent="0.25">
      <c r="E114" s="61"/>
      <c r="AL114" s="62"/>
    </row>
    <row r="115" spans="5:38" x14ac:dyDescent="0.25">
      <c r="E115" s="61"/>
      <c r="AL115" s="62"/>
    </row>
    <row r="116" spans="5:38" x14ac:dyDescent="0.25">
      <c r="E116" s="61"/>
      <c r="AL116" s="62"/>
    </row>
    <row r="117" spans="5:38" x14ac:dyDescent="0.25">
      <c r="E117" s="61"/>
      <c r="AL117" s="62"/>
    </row>
    <row r="118" spans="5:38" x14ac:dyDescent="0.25">
      <c r="E118" s="61"/>
      <c r="AL118" s="62"/>
    </row>
    <row r="119" spans="5:38" x14ac:dyDescent="0.25">
      <c r="E119" s="61"/>
      <c r="AL119" s="62"/>
    </row>
    <row r="120" spans="5:38" x14ac:dyDescent="0.25">
      <c r="E120" s="61"/>
      <c r="AL120" s="62"/>
    </row>
    <row r="121" spans="5:38" ht="16.5" thickBot="1" x14ac:dyDescent="0.3">
      <c r="E121" s="63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  <c r="AA121" s="64"/>
      <c r="AB121" s="64"/>
      <c r="AC121" s="64"/>
      <c r="AD121" s="64"/>
      <c r="AE121" s="64"/>
      <c r="AF121" s="64"/>
      <c r="AG121" s="64"/>
      <c r="AH121" s="64"/>
      <c r="AI121" s="64"/>
      <c r="AJ121" s="64"/>
      <c r="AK121" s="64"/>
      <c r="AL121" s="65"/>
    </row>
  </sheetData>
  <mergeCells count="18">
    <mergeCell ref="BP38:BU38"/>
    <mergeCell ref="BO18:BR18"/>
    <mergeCell ref="K5:AD9"/>
    <mergeCell ref="BP48:BS48"/>
    <mergeCell ref="BO19:BP19"/>
    <mergeCell ref="BO22:BP22"/>
    <mergeCell ref="BO21:BP21"/>
    <mergeCell ref="BO20:BP20"/>
    <mergeCell ref="Q17:V18"/>
    <mergeCell ref="H19:N22"/>
    <mergeCell ref="H17:N18"/>
    <mergeCell ref="U19:V19"/>
    <mergeCell ref="S19:T19"/>
    <mergeCell ref="Q19:R19"/>
    <mergeCell ref="U20:V22"/>
    <mergeCell ref="S20:T22"/>
    <mergeCell ref="Q20:R22"/>
    <mergeCell ref="BP28:BR2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IMPLEMENTASI MRP</vt:lpstr>
      <vt:lpstr>IMPLEMENTASI PEMESANAN BARANG</vt:lpstr>
      <vt:lpstr>IMPLEMENTASI QUALITY CONTROL</vt:lpstr>
      <vt:lpstr>IMPLEMENTASI FIFO</vt:lpstr>
      <vt:lpstr>ADMINISTRASI DEFECT</vt:lpstr>
      <vt:lpstr>IMPLEMENTASI VPI</vt:lpstr>
      <vt:lpstr>Dasbord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RIONALDO FRANSISKUS SILAEN</dc:creator>
  <cp:lastModifiedBy>MUHAMMAD RAIHAN FAHRIFI</cp:lastModifiedBy>
  <dcterms:created xsi:type="dcterms:W3CDTF">2026-06-22T15:02:09Z</dcterms:created>
  <dcterms:modified xsi:type="dcterms:W3CDTF">2026-07-17T02:47:57Z</dcterms:modified>
</cp:coreProperties>
</file>