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F47F657-C3D3-4A6C-9E58-BADCCA9CC086}" xr6:coauthVersionLast="47" xr6:coauthVersionMax="47" xr10:uidLastSave="{00000000-0000-0000-0000-000000000000}"/>
  <bookViews>
    <workbookView xWindow="-120" yWindow="-120" windowWidth="20730" windowHeight="11760" firstSheet="1" activeTab="3" xr2:uid="{00000000-000D-0000-FFFF-FFFF00000000}"/>
  </bookViews>
  <sheets>
    <sheet name="IMPLEMENTASI MRP" sheetId="1" r:id="rId1"/>
    <sheet name="IMPLEMENTASI AQL" sheetId="3" r:id="rId2"/>
    <sheet name="DATA RIWAYAT VENDOR" sheetId="6" r:id="rId3"/>
    <sheet name="IMPLEMENTASI FIF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6" l="1"/>
  <c r="G13" i="6"/>
  <c r="G12" i="6"/>
  <c r="H6" i="6"/>
  <c r="H7" i="6"/>
  <c r="H5" i="6"/>
  <c r="J12" i="6"/>
  <c r="J11" i="6"/>
  <c r="J10" i="6"/>
  <c r="E13" i="6" l="1"/>
  <c r="E11" i="6"/>
  <c r="E12" i="6"/>
  <c r="N2" i="5" l="1"/>
  <c r="C2" i="5"/>
  <c r="F13" i="6"/>
  <c r="F12" i="6"/>
  <c r="F11" i="6"/>
  <c r="B12" i="6"/>
  <c r="B13" i="6"/>
  <c r="B11" i="6"/>
  <c r="F7" i="6"/>
  <c r="F6" i="6"/>
  <c r="E7" i="6"/>
  <c r="D13" i="6" s="1"/>
  <c r="E6" i="6"/>
  <c r="D12" i="6" s="1"/>
  <c r="E5" i="6"/>
  <c r="D11" i="6" s="1"/>
  <c r="G11" i="6" s="1"/>
  <c r="C7" i="6"/>
  <c r="C13" i="6" s="1"/>
  <c r="C6" i="6"/>
  <c r="C12" i="6" s="1"/>
  <c r="C5" i="6"/>
  <c r="C11" i="6" s="1"/>
  <c r="U6" i="3"/>
  <c r="U7" i="3"/>
  <c r="U8" i="3"/>
  <c r="U9" i="3"/>
  <c r="U10" i="3"/>
  <c r="U11" i="3"/>
  <c r="U12" i="3"/>
  <c r="U13" i="3"/>
  <c r="U14" i="3"/>
  <c r="U5" i="3"/>
  <c r="S11" i="3"/>
  <c r="S12" i="3"/>
  <c r="S13" i="3"/>
  <c r="S14" i="3"/>
  <c r="S6" i="3"/>
  <c r="S7" i="3"/>
  <c r="S8" i="3"/>
  <c r="S9" i="3"/>
  <c r="S10" i="3"/>
  <c r="S5" i="3"/>
  <c r="AE5" i="5"/>
  <c r="AF5" i="5"/>
  <c r="AG5" i="5"/>
  <c r="AE6" i="5"/>
  <c r="AF6" i="5"/>
  <c r="AG6" i="5"/>
  <c r="AE7" i="5"/>
  <c r="AF7" i="5"/>
  <c r="AG7" i="5"/>
  <c r="AE8" i="5"/>
  <c r="AF8" i="5"/>
  <c r="AG8" i="5"/>
  <c r="AE9" i="5"/>
  <c r="AF9" i="5"/>
  <c r="AG9" i="5"/>
  <c r="X10" i="5"/>
  <c r="AF10" i="5"/>
  <c r="AG10" i="5"/>
  <c r="AE10" i="5" s="1"/>
  <c r="AE11" i="5"/>
  <c r="AF11" i="5"/>
  <c r="AG11" i="5"/>
  <c r="X12" i="5"/>
  <c r="AF12" i="5"/>
  <c r="AG12" i="5"/>
  <c r="AE12" i="5" s="1"/>
  <c r="X13" i="5"/>
  <c r="AF13" i="5"/>
  <c r="AG13" i="5"/>
  <c r="AE13" i="5" s="1"/>
  <c r="X14" i="5"/>
  <c r="AF14" i="5"/>
  <c r="AG14" i="5"/>
  <c r="AE15" i="5"/>
  <c r="AF15" i="5"/>
  <c r="AG15" i="5"/>
  <c r="X16" i="5"/>
  <c r="AF16" i="5"/>
  <c r="AG16" i="5"/>
  <c r="X17" i="5"/>
  <c r="AF17" i="5"/>
  <c r="AG17" i="5"/>
  <c r="X18" i="5"/>
  <c r="AE18" i="5"/>
  <c r="AF18" i="5"/>
  <c r="AG18" i="5"/>
  <c r="X19" i="5"/>
  <c r="AE19" i="5"/>
  <c r="AF19" i="5"/>
  <c r="AG19" i="5"/>
  <c r="X20" i="5"/>
  <c r="AE20" i="5"/>
  <c r="AF20" i="5"/>
  <c r="AG20" i="5"/>
  <c r="X21" i="5"/>
  <c r="AE21" i="5"/>
  <c r="AF21" i="5"/>
  <c r="AG21" i="5"/>
  <c r="X22" i="5"/>
  <c r="AE22" i="5"/>
  <c r="AF22" i="5"/>
  <c r="AG22" i="5"/>
  <c r="X23" i="5"/>
  <c r="AE23" i="5"/>
  <c r="AF23" i="5"/>
  <c r="AG23" i="5"/>
  <c r="X24" i="5"/>
  <c r="AE24" i="5"/>
  <c r="AF24" i="5"/>
  <c r="AG24" i="5"/>
  <c r="X25" i="5"/>
  <c r="AE25" i="5"/>
  <c r="AF25" i="5"/>
  <c r="AG25" i="5"/>
  <c r="X26" i="5"/>
  <c r="AE26" i="5"/>
  <c r="AF26" i="5"/>
  <c r="AG26" i="5"/>
  <c r="X27" i="5"/>
  <c r="AE27" i="5"/>
  <c r="AF27" i="5"/>
  <c r="AG27" i="5"/>
  <c r="X28" i="5"/>
  <c r="AE28" i="5"/>
  <c r="AF28" i="5"/>
  <c r="AG28" i="5"/>
  <c r="X29" i="5"/>
  <c r="AE29" i="5"/>
  <c r="AF29" i="5"/>
  <c r="AG29" i="5"/>
  <c r="X30" i="5"/>
  <c r="AE30" i="5"/>
  <c r="AF30" i="5"/>
  <c r="AG30" i="5"/>
  <c r="X31" i="5"/>
  <c r="AE31" i="5"/>
  <c r="AF31" i="5"/>
  <c r="AG31" i="5"/>
  <c r="X32" i="5"/>
  <c r="AE32" i="5"/>
  <c r="AF32" i="5"/>
  <c r="AG32" i="5"/>
  <c r="X33" i="5"/>
  <c r="AE33" i="5"/>
  <c r="AF33" i="5"/>
  <c r="AG33" i="5"/>
  <c r="T5" i="5"/>
  <c r="U5" i="5"/>
  <c r="V5" i="5"/>
  <c r="T6" i="5"/>
  <c r="U6" i="5"/>
  <c r="V6" i="5"/>
  <c r="T7" i="5"/>
  <c r="U7" i="5"/>
  <c r="V7" i="5"/>
  <c r="T8" i="5"/>
  <c r="U8" i="5"/>
  <c r="V8" i="5"/>
  <c r="T9" i="5"/>
  <c r="U9" i="5"/>
  <c r="V9" i="5"/>
  <c r="M10" i="5"/>
  <c r="U10" i="5"/>
  <c r="V10" i="5"/>
  <c r="T11" i="5"/>
  <c r="U11" i="5"/>
  <c r="V11" i="5"/>
  <c r="M12" i="5"/>
  <c r="U12" i="5"/>
  <c r="V12" i="5"/>
  <c r="M13" i="5"/>
  <c r="U13" i="5"/>
  <c r="V13" i="5"/>
  <c r="M14" i="5"/>
  <c r="U14" i="5"/>
  <c r="V14" i="5"/>
  <c r="T15" i="5"/>
  <c r="U15" i="5"/>
  <c r="V15" i="5"/>
  <c r="M16" i="5"/>
  <c r="U16" i="5"/>
  <c r="V16" i="5"/>
  <c r="M17" i="5"/>
  <c r="U17" i="5"/>
  <c r="V17" i="5"/>
  <c r="M18" i="5"/>
  <c r="T18" i="5"/>
  <c r="U18" i="5"/>
  <c r="V18" i="5"/>
  <c r="M19" i="5"/>
  <c r="T19" i="5"/>
  <c r="U19" i="5"/>
  <c r="V19" i="5"/>
  <c r="M20" i="5"/>
  <c r="T20" i="5"/>
  <c r="U20" i="5"/>
  <c r="V20" i="5"/>
  <c r="M21" i="5"/>
  <c r="T21" i="5"/>
  <c r="U21" i="5"/>
  <c r="V21" i="5"/>
  <c r="M22" i="5"/>
  <c r="T22" i="5"/>
  <c r="U22" i="5"/>
  <c r="V22" i="5"/>
  <c r="M23" i="5"/>
  <c r="T23" i="5"/>
  <c r="U23" i="5"/>
  <c r="V23" i="5"/>
  <c r="M24" i="5"/>
  <c r="T24" i="5"/>
  <c r="U24" i="5"/>
  <c r="V24" i="5"/>
  <c r="M25" i="5"/>
  <c r="T25" i="5"/>
  <c r="U25" i="5"/>
  <c r="V25" i="5"/>
  <c r="M26" i="5"/>
  <c r="T26" i="5"/>
  <c r="U26" i="5"/>
  <c r="V26" i="5"/>
  <c r="M27" i="5"/>
  <c r="T27" i="5"/>
  <c r="U27" i="5"/>
  <c r="V27" i="5"/>
  <c r="M28" i="5"/>
  <c r="T28" i="5"/>
  <c r="U28" i="5"/>
  <c r="V28" i="5"/>
  <c r="M29" i="5"/>
  <c r="T29" i="5"/>
  <c r="U29" i="5"/>
  <c r="V29" i="5"/>
  <c r="M30" i="5"/>
  <c r="T30" i="5"/>
  <c r="U30" i="5"/>
  <c r="V30" i="5"/>
  <c r="M31" i="5"/>
  <c r="T31" i="5"/>
  <c r="U31" i="5"/>
  <c r="V31" i="5"/>
  <c r="M32" i="5"/>
  <c r="T32" i="5"/>
  <c r="U32" i="5"/>
  <c r="V32" i="5"/>
  <c r="M33" i="5"/>
  <c r="T33" i="5"/>
  <c r="U33" i="5"/>
  <c r="V33" i="5"/>
  <c r="M6" i="5" s="1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D7" i="6"/>
  <c r="D6" i="6"/>
  <c r="D5" i="6"/>
  <c r="B33" i="5"/>
  <c r="I33" i="5"/>
  <c r="B32" i="5"/>
  <c r="I32" i="5"/>
  <c r="B31" i="5"/>
  <c r="I31" i="5"/>
  <c r="B30" i="5"/>
  <c r="I30" i="5"/>
  <c r="B29" i="5"/>
  <c r="I29" i="5"/>
  <c r="B28" i="5"/>
  <c r="I28" i="5"/>
  <c r="B27" i="5"/>
  <c r="I27" i="5"/>
  <c r="B26" i="5"/>
  <c r="I26" i="5"/>
  <c r="B25" i="5"/>
  <c r="I25" i="5"/>
  <c r="B24" i="5"/>
  <c r="I24" i="5"/>
  <c r="B23" i="5"/>
  <c r="I23" i="5"/>
  <c r="B22" i="5"/>
  <c r="I22" i="5"/>
  <c r="B21" i="5"/>
  <c r="I21" i="5"/>
  <c r="B20" i="5"/>
  <c r="I20" i="5"/>
  <c r="B19" i="5"/>
  <c r="I19" i="5"/>
  <c r="B18" i="5"/>
  <c r="I18" i="5"/>
  <c r="B17" i="5"/>
  <c r="B16" i="5"/>
  <c r="I15" i="5"/>
  <c r="B14" i="5"/>
  <c r="B13" i="5"/>
  <c r="B12" i="5"/>
  <c r="I11" i="5"/>
  <c r="B10" i="5"/>
  <c r="I9" i="5"/>
  <c r="I8" i="5"/>
  <c r="I7" i="5"/>
  <c r="I6" i="5"/>
  <c r="I5" i="5"/>
  <c r="N29" i="3"/>
  <c r="J29" i="3"/>
  <c r="I29" i="3"/>
  <c r="N28" i="3"/>
  <c r="J28" i="3"/>
  <c r="I28" i="3"/>
  <c r="N27" i="3"/>
  <c r="J27" i="3"/>
  <c r="I27" i="3"/>
  <c r="N26" i="3"/>
  <c r="J26" i="3"/>
  <c r="I26" i="3"/>
  <c r="N25" i="3"/>
  <c r="J25" i="3"/>
  <c r="I25" i="3"/>
  <c r="N24" i="3"/>
  <c r="J24" i="3"/>
  <c r="I24" i="3"/>
  <c r="N23" i="3"/>
  <c r="J23" i="3"/>
  <c r="I23" i="3"/>
  <c r="N22" i="3"/>
  <c r="J22" i="3"/>
  <c r="I22" i="3"/>
  <c r="N21" i="3"/>
  <c r="J21" i="3"/>
  <c r="I21" i="3"/>
  <c r="N20" i="3"/>
  <c r="J20" i="3"/>
  <c r="I20" i="3"/>
  <c r="N19" i="3"/>
  <c r="J19" i="3"/>
  <c r="I19" i="3"/>
  <c r="N18" i="3"/>
  <c r="J18" i="3"/>
  <c r="I18" i="3"/>
  <c r="N17" i="3"/>
  <c r="J17" i="3"/>
  <c r="I17" i="3"/>
  <c r="N16" i="3"/>
  <c r="J16" i="3"/>
  <c r="I16" i="3"/>
  <c r="N15" i="3"/>
  <c r="J15" i="3"/>
  <c r="I15" i="3"/>
  <c r="J14" i="3"/>
  <c r="I14" i="3"/>
  <c r="N14" i="3" s="1"/>
  <c r="J13" i="3"/>
  <c r="I13" i="3"/>
  <c r="N13" i="3" s="1"/>
  <c r="J12" i="3"/>
  <c r="I12" i="3"/>
  <c r="N12" i="3" s="1"/>
  <c r="J11" i="3"/>
  <c r="I11" i="3"/>
  <c r="N11" i="3" s="1"/>
  <c r="J10" i="3"/>
  <c r="I10" i="3"/>
  <c r="J9" i="3"/>
  <c r="I9" i="3"/>
  <c r="N9" i="3" s="1"/>
  <c r="J8" i="3"/>
  <c r="I8" i="3"/>
  <c r="N8" i="3" s="1"/>
  <c r="J7" i="3"/>
  <c r="I7" i="3"/>
  <c r="N7" i="3" s="1"/>
  <c r="J6" i="3"/>
  <c r="I6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J5" i="3"/>
  <c r="I5" i="3"/>
  <c r="N5" i="3" s="1"/>
  <c r="K8" i="1"/>
  <c r="K11" i="1" s="1"/>
  <c r="J8" i="1"/>
  <c r="J11" i="1" s="1"/>
  <c r="I8" i="1"/>
  <c r="I11" i="1" s="1"/>
  <c r="H8" i="1"/>
  <c r="H11" i="1" s="1"/>
  <c r="G8" i="1"/>
  <c r="G11" i="1" s="1"/>
  <c r="F8" i="1"/>
  <c r="F11" i="1" s="1"/>
  <c r="E8" i="1"/>
  <c r="E11" i="1" s="1"/>
  <c r="E14" i="1" s="1"/>
  <c r="D16" i="1" s="1"/>
  <c r="E15" i="1" s="1"/>
  <c r="E13" i="1" s="1"/>
  <c r="D8" i="1"/>
  <c r="H13" i="6" l="1"/>
  <c r="H11" i="6"/>
  <c r="H12" i="6"/>
  <c r="N10" i="3"/>
  <c r="N6" i="3"/>
  <c r="X9" i="5"/>
  <c r="X11" i="5"/>
  <c r="X15" i="5"/>
  <c r="X5" i="5"/>
  <c r="X6" i="5"/>
  <c r="X7" i="5"/>
  <c r="X8" i="5"/>
  <c r="AE16" i="5"/>
  <c r="AE17" i="5"/>
  <c r="AE14" i="5"/>
  <c r="T13" i="5"/>
  <c r="T12" i="5"/>
  <c r="T10" i="5"/>
  <c r="T14" i="5"/>
  <c r="T17" i="5"/>
  <c r="T16" i="5"/>
  <c r="M7" i="5"/>
  <c r="M9" i="5"/>
  <c r="M11" i="5"/>
  <c r="M8" i="5"/>
  <c r="M5" i="5"/>
  <c r="M15" i="5"/>
  <c r="J7" i="5"/>
  <c r="J8" i="5"/>
  <c r="J6" i="5"/>
  <c r="J9" i="5"/>
  <c r="J5" i="5"/>
  <c r="F14" i="1"/>
  <c r="E16" i="1" s="1"/>
  <c r="F15" i="1" s="1"/>
  <c r="F13" i="1" s="1"/>
  <c r="Y2" i="5" l="1"/>
  <c r="K5" i="5"/>
  <c r="G14" i="1"/>
  <c r="F16" i="1" s="1"/>
  <c r="G15" i="1" s="1"/>
  <c r="G13" i="1" s="1"/>
  <c r="H14" i="1" l="1"/>
  <c r="G16" i="1" s="1"/>
  <c r="H15" i="1" s="1"/>
  <c r="H13" i="1" s="1"/>
  <c r="I14" i="1" l="1"/>
  <c r="H16" i="1" s="1"/>
  <c r="I15" i="1" s="1"/>
  <c r="I13" i="1"/>
  <c r="J14" i="1" l="1"/>
  <c r="I16" i="1" s="1"/>
  <c r="J15" i="1" s="1"/>
  <c r="J13" i="1" s="1"/>
  <c r="K14" i="1" l="1"/>
  <c r="J16" i="1" s="1"/>
  <c r="K15" i="1" s="1"/>
  <c r="K13" i="1" s="1"/>
  <c r="J15" i="5" l="1"/>
  <c r="J21" i="5"/>
  <c r="J26" i="5"/>
  <c r="J23" i="5"/>
  <c r="J20" i="5"/>
  <c r="J11" i="5"/>
  <c r="B8" i="5"/>
  <c r="J18" i="5"/>
  <c r="J32" i="5"/>
  <c r="J33" i="5"/>
  <c r="B6" i="5"/>
  <c r="J29" i="5"/>
  <c r="J25" i="5"/>
  <c r="J19" i="5"/>
  <c r="J22" i="5"/>
  <c r="J10" i="5"/>
  <c r="J12" i="5"/>
  <c r="J13" i="5"/>
  <c r="I13" i="5" s="1"/>
  <c r="J16" i="5"/>
  <c r="J14" i="5"/>
  <c r="J17" i="5"/>
  <c r="J28" i="5"/>
  <c r="J31" i="5"/>
  <c r="J27" i="5"/>
  <c r="J30" i="5"/>
  <c r="J24" i="5"/>
  <c r="B7" i="5"/>
  <c r="I17" i="5" l="1"/>
  <c r="I12" i="5"/>
  <c r="I10" i="5"/>
  <c r="I14" i="5"/>
  <c r="I16" i="5"/>
  <c r="B15" i="5"/>
  <c r="B11" i="5"/>
  <c r="B9" i="5"/>
  <c r="B5" i="5"/>
</calcChain>
</file>

<file path=xl/sharedStrings.xml><?xml version="1.0" encoding="utf-8"?>
<sst xmlns="http://schemas.openxmlformats.org/spreadsheetml/2006/main" count="438" uniqueCount="153">
  <si>
    <t>MASTER PRODUCTION SCHEDULE (MPS)</t>
  </si>
  <si>
    <t>PD</t>
  </si>
  <si>
    <t>Minggu 1</t>
  </si>
  <si>
    <t>Minggu 2</t>
  </si>
  <si>
    <t>Minggu 3</t>
  </si>
  <si>
    <t>Minggu 4</t>
  </si>
  <si>
    <t>Minggu 5</t>
  </si>
  <si>
    <t>Minggu 6</t>
  </si>
  <si>
    <t>Minggu 7</t>
  </si>
  <si>
    <t>Satuan</t>
  </si>
  <si>
    <t>Keterangan</t>
  </si>
  <si>
    <t>Demand / Pesanan (pcs)</t>
  </si>
  <si>
    <t>pcs</t>
  </si>
  <si>
    <t>Data permintaan / pesanan produksi</t>
  </si>
  <si>
    <t>MPS / Produksi (pcs)</t>
  </si>
  <si>
    <t>Rencana produksi = memenuhi demand</t>
  </si>
  <si>
    <t>Komponen MRP
LT: 1 minggu</t>
  </si>
  <si>
    <t>Minggu 0</t>
  </si>
  <si>
    <t>Keterangan / Rumus</t>
  </si>
  <si>
    <t>GR</t>
  </si>
  <si>
    <t>Gross Requirement
(Kebutuhan Kotor)</t>
  </si>
  <si>
    <t>kg</t>
  </si>
  <si>
    <t>GR = MPS × BOM = Produksi × 0,5 kg/pcs</t>
  </si>
  <si>
    <t>SR</t>
  </si>
  <si>
    <t>Scheduled Receipts
(Penerimaan Terjadwal)</t>
  </si>
  <si>
    <t>SR =Bahan baku yang sudah di pesan/dijadwalkan tiba</t>
  </si>
  <si>
    <t>PoH</t>
  </si>
  <si>
    <t>Projected On Hand
(Persediaan Awal Periode)</t>
  </si>
  <si>
    <t>PoH minggu ini = sisa stok minggu/periode kemarin</t>
  </si>
  <si>
    <t>NR</t>
  </si>
  <si>
    <t>Net Requirement
(Kebutuhan Bersih)</t>
  </si>
  <si>
    <t>NR = GR - PoH − SR + SS, dengan syarat min 0</t>
  </si>
  <si>
    <t>PORt</t>
  </si>
  <si>
    <t>Planned Order Receipt
(Penerimaan Terencana)</t>
  </si>
  <si>
    <t>PORt M(t) = Jumlah barang yang masuk yang sudah direncanakan dengan LT = 1 minggu</t>
  </si>
  <si>
    <t>PORel</t>
  </si>
  <si>
    <t>Planned Order Release
(Pelepasan Pesanan Terencana)</t>
  </si>
  <si>
    <t xml:space="preserve">PORel = NR (Lot-for-Lot); Pesanan yang dikirim ke supplier </t>
  </si>
  <si>
    <t>Ukuran Lot (unit)</t>
  </si>
  <si>
    <t>Ukuran Sampel (n)</t>
  </si>
  <si>
    <t>2 – 8</t>
  </si>
  <si>
    <t>9 – 15</t>
  </si>
  <si>
    <t>B</t>
  </si>
  <si>
    <t>16 – 25</t>
  </si>
  <si>
    <t>26 – 50</t>
  </si>
  <si>
    <t>51 – 90</t>
  </si>
  <si>
    <t>91 – 150</t>
  </si>
  <si>
    <t>151 – 280</t>
  </si>
  <si>
    <t>G</t>
  </si>
  <si>
    <t>281 – 500</t>
  </si>
  <si>
    <t>501 – 1.200</t>
  </si>
  <si>
    <t>1.201 – 3.200</t>
  </si>
  <si>
    <t>3.201 – 10.000</t>
  </si>
  <si>
    <t>-</t>
  </si>
  <si>
    <t>Vendor</t>
  </si>
  <si>
    <t>No.</t>
  </si>
  <si>
    <t>Tanggal Masuk</t>
  </si>
  <si>
    <t>Kode Material</t>
  </si>
  <si>
    <t>Deskripsi Defect</t>
  </si>
  <si>
    <t>Kode Sampel</t>
  </si>
  <si>
    <t>Ac ≤</t>
  </si>
  <si>
    <t>Re &gt;</t>
  </si>
  <si>
    <t>Cacat Ditemukan</t>
  </si>
  <si>
    <t>Foto
Bukti?</t>
  </si>
  <si>
    <t>Hasil AQL 2.5</t>
  </si>
  <si>
    <t>Keputusan 
(LOLOS/RETUR/HOLD)</t>
  </si>
  <si>
    <t>Validasi Supervisor</t>
  </si>
  <si>
    <t>Hasil Akhir</t>
  </si>
  <si>
    <t>Tanggal Barang Sampai</t>
  </si>
  <si>
    <t>Status Pengiriman</t>
  </si>
  <si>
    <t>1 Juni 2026</t>
  </si>
  <si>
    <t>K-1-PUTIH</t>
  </si>
  <si>
    <t xml:space="preserve">F </t>
  </si>
  <si>
    <t>Terlampir</t>
  </si>
  <si>
    <t>HOLD</t>
  </si>
  <si>
    <t>RETURN</t>
  </si>
  <si>
    <t>1 Mei 2026</t>
  </si>
  <si>
    <t>10 Juni 2026</t>
  </si>
  <si>
    <t>K-1-HITAM</t>
  </si>
  <si>
    <t xml:space="preserve">E </t>
  </si>
  <si>
    <t>LOLOS</t>
  </si>
  <si>
    <t>9 Juni 2026</t>
  </si>
  <si>
    <t>Ukuran Sampel</t>
  </si>
  <si>
    <t>Keputusan</t>
  </si>
  <si>
    <t>15 Juni 2026</t>
  </si>
  <si>
    <t>K-1-ABU-ABU</t>
  </si>
  <si>
    <t>14 Juni 2026</t>
  </si>
  <si>
    <t xml:space="preserve">A </t>
  </si>
  <si>
    <t>16 Juni 2026</t>
  </si>
  <si>
    <t>17 Juni 2026</t>
  </si>
  <si>
    <t xml:space="preserve">H </t>
  </si>
  <si>
    <t xml:space="preserve">C </t>
  </si>
  <si>
    <t>18 Juni 2026</t>
  </si>
  <si>
    <t xml:space="preserve">D </t>
  </si>
  <si>
    <t xml:space="preserve">J </t>
  </si>
  <si>
    <t xml:space="preserve">K </t>
  </si>
  <si>
    <t xml:space="preserve">L </t>
  </si>
  <si>
    <t>Tanggal</t>
  </si>
  <si>
    <t>IN</t>
  </si>
  <si>
    <t>2 Juni 2026</t>
  </si>
  <si>
    <t>3 Juni 2026</t>
  </si>
  <si>
    <t>4 Juni 2026</t>
  </si>
  <si>
    <t>5 Juni 2026</t>
  </si>
  <si>
    <t>OUT</t>
  </si>
  <si>
    <t>KumJ4:K33ulatif Masuk (kg)</t>
  </si>
  <si>
    <t>Kumulatif Keluar (kg)</t>
  </si>
  <si>
    <t>Sisa Stok Batch Ini (kg)</t>
  </si>
  <si>
    <t>6 Juni 2026</t>
  </si>
  <si>
    <t>7 Juni 2026</t>
  </si>
  <si>
    <t>8 JUNI 2026</t>
  </si>
  <si>
    <t>9 JUNI 2026</t>
  </si>
  <si>
    <t>10 JUNI 2026</t>
  </si>
  <si>
    <t>11 JUNI 2026</t>
  </si>
  <si>
    <t xml:space="preserve">12 JUNI 2026 </t>
  </si>
  <si>
    <t>13 JUNI 2026</t>
  </si>
  <si>
    <t>Total Pengiriman Delay</t>
  </si>
  <si>
    <t>Harga (Rp/kg)</t>
  </si>
  <si>
    <t>Quality</t>
  </si>
  <si>
    <t>Delivery</t>
  </si>
  <si>
    <t>Price</t>
  </si>
  <si>
    <t>VPI</t>
  </si>
  <si>
    <t>Ranking</t>
  </si>
  <si>
    <t>JENIS</t>
  </si>
  <si>
    <t>KODE MATERIAL</t>
  </si>
  <si>
    <t>VENDOR</t>
  </si>
  <si>
    <t>SURYA SANTOSA</t>
  </si>
  <si>
    <t>FOCUS TEKSTIL</t>
  </si>
  <si>
    <t>D&amp;D TEKSTIL</t>
  </si>
  <si>
    <t>BARANG (IN/OUT)</t>
  </si>
  <si>
    <t>SISA STOK (KG)</t>
  </si>
  <si>
    <t>TANGGAL</t>
  </si>
  <si>
    <t>KELUAR (KG)</t>
  </si>
  <si>
    <t>AMBIL BARANG DI TGL</t>
  </si>
  <si>
    <t>MASUK (KG)</t>
  </si>
  <si>
    <t>Jumlah Barang Masuk (bal)</t>
  </si>
  <si>
    <t>19 Juni 2026</t>
  </si>
  <si>
    <t>24 Juni 2026</t>
  </si>
  <si>
    <t>25 Juni 2026</t>
  </si>
  <si>
    <t>27 Juni 2026</t>
  </si>
  <si>
    <t>28 Juni 2026</t>
  </si>
  <si>
    <t>Robek 10 cm</t>
  </si>
  <si>
    <t>warna tidak sesuai</t>
  </si>
  <si>
    <t>banyak benang putus</t>
  </si>
  <si>
    <t>banyak benang longgar</t>
  </si>
  <si>
    <t xml:space="preserve">banyak tinta </t>
  </si>
  <si>
    <t>Jadwal di Kontrak PO</t>
  </si>
  <si>
    <t>Jumlah Pemasanan</t>
  </si>
  <si>
    <t>Jumlah Return</t>
  </si>
  <si>
    <t xml:space="preserve">Jumlah Pengiriman </t>
  </si>
  <si>
    <t>KPI UMKM</t>
  </si>
  <si>
    <t>SISA STOK</t>
  </si>
  <si>
    <t>Lead time pengiriman</t>
  </si>
  <si>
    <t>Lead Time Pengiriman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</si>
</sst>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rgb="FFFFFF00"/>
      </patternFill>
    </fill>
    <fill>
      <patternFill patternType="solid">
        <fgColor theme="0"/>
        <bgColor theme="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rgb="FFE7E6E6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2" borderId="3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3" fontId="1" fillId="5" borderId="4" xfId="0" applyNumberFormat="1" applyFont="1" applyFill="1" applyBorder="1" applyAlignment="1">
      <alignment horizontal="center" vertical="center"/>
    </xf>
    <xf numFmtId="14" fontId="1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4" xfId="0" applyBorder="1"/>
    <xf numFmtId="0" fontId="0" fillId="8" borderId="0" xfId="0" applyFill="1"/>
    <xf numFmtId="0" fontId="1" fillId="9" borderId="4" xfId="0" applyFont="1" applyFill="1" applyBorder="1" applyAlignment="1">
      <alignment horizontal="center"/>
    </xf>
    <xf numFmtId="0" fontId="1" fillId="9" borderId="4" xfId="0" applyFont="1" applyFill="1" applyBorder="1"/>
    <xf numFmtId="0" fontId="1" fillId="8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4" fillId="0" borderId="4" xfId="0" applyFont="1" applyBorder="1" applyAlignment="1">
      <alignment horizontal="center" vertical="center" wrapText="1"/>
    </xf>
    <xf numFmtId="0" fontId="1" fillId="0" borderId="10" xfId="0" applyFont="1" applyBorder="1"/>
    <xf numFmtId="0" fontId="1" fillId="10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3" fillId="11" borderId="0" xfId="0" applyFont="1" applyFill="1" applyAlignment="1">
      <alignment vertical="center"/>
    </xf>
    <xf numFmtId="0" fontId="1" fillId="9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 vertical="center"/>
    </xf>
    <xf numFmtId="3" fontId="1" fillId="9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0" zoomScaleNormal="70" workbookViewId="0">
      <selection activeCell="G22" sqref="G22"/>
    </sheetView>
  </sheetViews>
  <sheetFormatPr defaultColWidth="14.42578125" defaultRowHeight="15" customHeight="1" x14ac:dyDescent="0.25"/>
  <cols>
    <col min="1" max="2" width="8.7109375" customWidth="1"/>
    <col min="3" max="3" width="44.140625" customWidth="1"/>
    <col min="4" max="6" width="10.42578125" customWidth="1"/>
    <col min="7" max="7" width="11.42578125" customWidth="1"/>
    <col min="8" max="11" width="10.42578125" customWidth="1"/>
    <col min="12" max="12" width="9.85546875" customWidth="1"/>
    <col min="13" max="13" width="43.140625" customWidth="1"/>
    <col min="14" max="26" width="8.710937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6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49" t="s">
        <v>0</v>
      </c>
      <c r="C6" s="50"/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25">
      <c r="A7" s="1"/>
      <c r="B7" s="51" t="s">
        <v>11</v>
      </c>
      <c r="C7" s="50"/>
      <c r="D7" s="3">
        <v>100</v>
      </c>
      <c r="E7" s="3">
        <v>100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  <c r="K7" s="3">
        <v>100</v>
      </c>
      <c r="L7" s="4" t="s">
        <v>12</v>
      </c>
      <c r="M7" s="5" t="s">
        <v>13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51" t="s">
        <v>14</v>
      </c>
      <c r="C8" s="50"/>
      <c r="D8" s="3">
        <f t="shared" ref="D8:K8" si="0">D7</f>
        <v>100</v>
      </c>
      <c r="E8" s="3">
        <f t="shared" si="0"/>
        <v>100</v>
      </c>
      <c r="F8" s="3">
        <f t="shared" si="0"/>
        <v>100</v>
      </c>
      <c r="G8" s="3">
        <f t="shared" si="0"/>
        <v>100</v>
      </c>
      <c r="H8" s="3">
        <f t="shared" si="0"/>
        <v>100</v>
      </c>
      <c r="I8" s="3">
        <f t="shared" si="0"/>
        <v>100</v>
      </c>
      <c r="J8" s="3">
        <f t="shared" si="0"/>
        <v>100</v>
      </c>
      <c r="K8" s="3">
        <f t="shared" si="0"/>
        <v>100</v>
      </c>
      <c r="L8" s="4" t="s">
        <v>12</v>
      </c>
      <c r="M8" s="5" t="s">
        <v>15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1"/>
      <c r="D9" s="1"/>
      <c r="E9" s="6"/>
      <c r="F9" s="6"/>
      <c r="G9" s="6"/>
      <c r="H9" s="6"/>
      <c r="I9" s="6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x14ac:dyDescent="0.25">
      <c r="A10" s="1"/>
      <c r="B10" s="52" t="s">
        <v>16</v>
      </c>
      <c r="C10" s="50"/>
      <c r="D10" s="2" t="s">
        <v>17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2" t="s">
        <v>8</v>
      </c>
      <c r="L10" s="2" t="s">
        <v>9</v>
      </c>
      <c r="M10" s="2" t="s">
        <v>18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4" t="s">
        <v>19</v>
      </c>
      <c r="C11" s="5" t="s">
        <v>20</v>
      </c>
      <c r="D11" s="7"/>
      <c r="E11" s="7">
        <f t="shared" ref="E11:K11" si="1">E8*0.5</f>
        <v>50</v>
      </c>
      <c r="F11" s="7">
        <f t="shared" si="1"/>
        <v>50</v>
      </c>
      <c r="G11" s="7">
        <f t="shared" si="1"/>
        <v>50</v>
      </c>
      <c r="H11" s="7">
        <f t="shared" si="1"/>
        <v>50</v>
      </c>
      <c r="I11" s="7">
        <f t="shared" si="1"/>
        <v>50</v>
      </c>
      <c r="J11" s="7">
        <f t="shared" si="1"/>
        <v>50</v>
      </c>
      <c r="K11" s="7">
        <f t="shared" si="1"/>
        <v>50</v>
      </c>
      <c r="L11" s="7" t="s">
        <v>21</v>
      </c>
      <c r="M11" s="5" t="s">
        <v>22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4" t="s">
        <v>23</v>
      </c>
      <c r="C12" s="5" t="s">
        <v>24</v>
      </c>
      <c r="D12" s="7"/>
      <c r="E12" s="7">
        <v>10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 t="s">
        <v>21</v>
      </c>
      <c r="M12" s="5" t="s">
        <v>25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4" t="s">
        <v>26</v>
      </c>
      <c r="C13" s="5" t="s">
        <v>27</v>
      </c>
      <c r="D13" s="7">
        <v>20</v>
      </c>
      <c r="E13" s="7">
        <f t="shared" ref="E13:K13" si="2">D13+E12+E15-E11</f>
        <v>0</v>
      </c>
      <c r="F13" s="7">
        <f t="shared" si="2"/>
        <v>0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0</v>
      </c>
      <c r="K13" s="7">
        <f t="shared" si="2"/>
        <v>0</v>
      </c>
      <c r="L13" s="7" t="s">
        <v>21</v>
      </c>
      <c r="M13" s="5" t="s">
        <v>28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4" t="s">
        <v>29</v>
      </c>
      <c r="C14" s="5" t="s">
        <v>30</v>
      </c>
      <c r="D14" s="7"/>
      <c r="E14" s="7">
        <f t="shared" ref="E14:K14" si="3">MAX(0,E11-(D13+E12))</f>
        <v>20</v>
      </c>
      <c r="F14" s="7">
        <f t="shared" si="3"/>
        <v>50</v>
      </c>
      <c r="G14" s="7">
        <f t="shared" si="3"/>
        <v>50</v>
      </c>
      <c r="H14" s="7">
        <f t="shared" si="3"/>
        <v>50</v>
      </c>
      <c r="I14" s="7">
        <f t="shared" si="3"/>
        <v>50</v>
      </c>
      <c r="J14" s="7">
        <f t="shared" si="3"/>
        <v>50</v>
      </c>
      <c r="K14" s="7">
        <f t="shared" si="3"/>
        <v>50</v>
      </c>
      <c r="L14" s="7" t="s">
        <v>21</v>
      </c>
      <c r="M14" s="5" t="s">
        <v>31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4" t="s">
        <v>32</v>
      </c>
      <c r="C15" s="5" t="s">
        <v>33</v>
      </c>
      <c r="D15" s="7"/>
      <c r="E15" s="7">
        <f t="shared" ref="E15:K15" si="4">D16</f>
        <v>20</v>
      </c>
      <c r="F15" s="7">
        <f t="shared" si="4"/>
        <v>50</v>
      </c>
      <c r="G15" s="7">
        <f t="shared" si="4"/>
        <v>50</v>
      </c>
      <c r="H15" s="7">
        <f t="shared" si="4"/>
        <v>50</v>
      </c>
      <c r="I15" s="7">
        <f t="shared" si="4"/>
        <v>50</v>
      </c>
      <c r="J15" s="7">
        <f t="shared" si="4"/>
        <v>50</v>
      </c>
      <c r="K15" s="7">
        <f t="shared" si="4"/>
        <v>50</v>
      </c>
      <c r="L15" s="8" t="s">
        <v>21</v>
      </c>
      <c r="M15" s="5" t="s">
        <v>34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4" t="s">
        <v>35</v>
      </c>
      <c r="C16" s="5" t="s">
        <v>36</v>
      </c>
      <c r="D16" s="7">
        <f t="shared" ref="D16:J16" si="5">E14</f>
        <v>20</v>
      </c>
      <c r="E16" s="7">
        <f t="shared" si="5"/>
        <v>50</v>
      </c>
      <c r="F16" s="7">
        <f t="shared" si="5"/>
        <v>50</v>
      </c>
      <c r="G16" s="7">
        <f t="shared" si="5"/>
        <v>50</v>
      </c>
      <c r="H16" s="7">
        <f t="shared" si="5"/>
        <v>50</v>
      </c>
      <c r="I16" s="7">
        <f t="shared" si="5"/>
        <v>50</v>
      </c>
      <c r="J16" s="7">
        <f t="shared" si="5"/>
        <v>50</v>
      </c>
      <c r="K16" s="7">
        <v>0</v>
      </c>
      <c r="L16" s="7" t="s">
        <v>21</v>
      </c>
      <c r="M16" s="5" t="s">
        <v>37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6:C6"/>
    <mergeCell ref="B7:C7"/>
    <mergeCell ref="B8:C8"/>
    <mergeCell ref="B10:C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topLeftCell="L1" zoomScale="85" zoomScaleNormal="85" workbookViewId="0">
      <selection activeCell="P5" sqref="P5"/>
    </sheetView>
  </sheetViews>
  <sheetFormatPr defaultColWidth="14.42578125" defaultRowHeight="15" customHeight="1" x14ac:dyDescent="0.25"/>
  <cols>
    <col min="1" max="1" width="8.7109375" customWidth="1"/>
    <col min="2" max="2" width="4.42578125" customWidth="1"/>
    <col min="3" max="3" width="12.85546875" customWidth="1"/>
    <col min="4" max="4" width="15.28515625" customWidth="1"/>
    <col min="5" max="5" width="18.42578125" bestFit="1" customWidth="1"/>
    <col min="6" max="6" width="21.42578125" customWidth="1"/>
    <col min="7" max="7" width="12.28515625" customWidth="1"/>
    <col min="8" max="8" width="8.5703125" customWidth="1"/>
    <col min="9" max="9" width="5.28515625" customWidth="1"/>
    <col min="10" max="10" width="5.5703125" customWidth="1"/>
    <col min="11" max="11" width="11.85546875" customWidth="1"/>
    <col min="12" max="12" width="21.28515625" bestFit="1" customWidth="1"/>
    <col min="13" max="13" width="9.5703125" bestFit="1" customWidth="1"/>
    <col min="14" max="14" width="26.5703125" customWidth="1"/>
    <col min="15" max="15" width="18.28515625" bestFit="1" customWidth="1"/>
    <col min="16" max="16" width="11.28515625" bestFit="1" customWidth="1"/>
    <col min="17" max="17" width="9.42578125" customWidth="1"/>
    <col min="18" max="18" width="12.85546875" customWidth="1"/>
    <col min="19" max="19" width="15.140625" customWidth="1"/>
    <col min="20" max="20" width="16.5703125" customWidth="1"/>
    <col min="21" max="21" width="17.5703125" bestFit="1" customWidth="1"/>
    <col min="22" max="22" width="18.7109375" customWidth="1"/>
    <col min="23" max="23" width="17.42578125" customWidth="1"/>
    <col min="24" max="24" width="19.5703125" customWidth="1"/>
    <col min="25" max="25" width="11" customWidth="1"/>
    <col min="26" max="26" width="18.42578125" customWidth="1"/>
    <col min="27" max="27" width="15.42578125" customWidth="1"/>
    <col min="28" max="28" width="14.7109375" customWidth="1"/>
    <col min="29" max="29" width="18.7109375" bestFit="1" customWidth="1"/>
    <col min="30" max="30" width="13.7109375" bestFit="1" customWidth="1"/>
    <col min="31" max="32" width="5.140625" customWidth="1"/>
    <col min="33" max="33" width="10.85546875" customWidth="1"/>
    <col min="34" max="34" width="12" customWidth="1"/>
  </cols>
  <sheetData>
    <row r="1" spans="1:34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4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4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47.25" x14ac:dyDescent="0.25">
      <c r="A4" s="1"/>
      <c r="B4" s="28" t="s">
        <v>55</v>
      </c>
      <c r="C4" s="28" t="s">
        <v>56</v>
      </c>
      <c r="D4" s="29" t="s">
        <v>57</v>
      </c>
      <c r="E4" s="30" t="s">
        <v>54</v>
      </c>
      <c r="F4" s="28" t="s">
        <v>134</v>
      </c>
      <c r="G4" s="31" t="s">
        <v>39</v>
      </c>
      <c r="H4" s="31" t="s">
        <v>59</v>
      </c>
      <c r="I4" s="31" t="s">
        <v>60</v>
      </c>
      <c r="J4" s="31" t="s">
        <v>61</v>
      </c>
      <c r="K4" s="32" t="s">
        <v>62</v>
      </c>
      <c r="L4" s="28" t="s">
        <v>58</v>
      </c>
      <c r="M4" s="31" t="s">
        <v>63</v>
      </c>
      <c r="N4" s="31" t="s">
        <v>64</v>
      </c>
      <c r="O4" s="28" t="s">
        <v>65</v>
      </c>
      <c r="P4" s="28" t="s">
        <v>66</v>
      </c>
      <c r="Q4" s="28" t="s">
        <v>67</v>
      </c>
      <c r="R4" s="33" t="s">
        <v>145</v>
      </c>
      <c r="S4" s="33" t="s">
        <v>68</v>
      </c>
      <c r="T4" s="28" t="s">
        <v>152</v>
      </c>
      <c r="U4" s="33" t="s">
        <v>69</v>
      </c>
      <c r="V4" s="26" t="s">
        <v>10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75" customHeight="1" x14ac:dyDescent="0.25">
      <c r="A5" s="1"/>
      <c r="B5" s="34">
        <v>1</v>
      </c>
      <c r="C5" s="34" t="s">
        <v>70</v>
      </c>
      <c r="D5" s="34" t="s">
        <v>71</v>
      </c>
      <c r="E5" s="34" t="s">
        <v>125</v>
      </c>
      <c r="F5" s="34">
        <v>10</v>
      </c>
      <c r="G5" s="34">
        <v>3</v>
      </c>
      <c r="H5" s="34" t="s">
        <v>42</v>
      </c>
      <c r="I5" s="34">
        <f t="shared" ref="I5:I29" si="0">IF(H5="","",IFERROR(VLOOKUP(H5,$AD$6:$AF$17,2,0),"?"))</f>
        <v>0</v>
      </c>
      <c r="J5" s="34">
        <f t="shared" ref="J5:J29" si="1">IF(H5="","",IFERROR(VLOOKUP(H5,$AD$6:$AF$17,3,0),"?"))</f>
        <v>1</v>
      </c>
      <c r="K5" s="39">
        <v>0</v>
      </c>
      <c r="L5" s="34" t="s">
        <v>53</v>
      </c>
      <c r="M5" s="34" t="s">
        <v>53</v>
      </c>
      <c r="N5" s="35" t="str">
        <f>IF(K5="","",IF(K5&lt;=I5,"LOLOS",IF(K5&gt;=J5,"RETURN","HOLD")))</f>
        <v>LOLOS</v>
      </c>
      <c r="O5" s="34" t="s">
        <v>80</v>
      </c>
      <c r="P5" s="34" t="s">
        <v>80</v>
      </c>
      <c r="Q5" s="34" t="s">
        <v>80</v>
      </c>
      <c r="R5" s="36" t="s">
        <v>76</v>
      </c>
      <c r="S5" s="36" t="str">
        <f>C5</f>
        <v>1 Juni 2026</v>
      </c>
      <c r="T5" s="61">
        <v>5</v>
      </c>
      <c r="U5" s="36" t="str">
        <f>IF(S5="","",IF(S5&lt;=R5,"TEPAT WAKTU","DELAY"))</f>
        <v>TEPAT WAKTU</v>
      </c>
      <c r="V5" s="27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8" customHeight="1" x14ac:dyDescent="0.25">
      <c r="A6" s="1"/>
      <c r="B6" s="34">
        <f t="shared" ref="B6:B50" si="2">1+B5</f>
        <v>2</v>
      </c>
      <c r="C6" s="34" t="s">
        <v>77</v>
      </c>
      <c r="D6" s="34" t="s">
        <v>78</v>
      </c>
      <c r="E6" s="34" t="s">
        <v>125</v>
      </c>
      <c r="F6" s="34">
        <v>50</v>
      </c>
      <c r="G6" s="34">
        <v>8</v>
      </c>
      <c r="H6" s="34" t="s">
        <v>93</v>
      </c>
      <c r="I6" s="34">
        <f t="shared" si="0"/>
        <v>0</v>
      </c>
      <c r="J6" s="34">
        <f t="shared" si="1"/>
        <v>1</v>
      </c>
      <c r="K6" s="39">
        <v>1</v>
      </c>
      <c r="L6" s="34" t="s">
        <v>140</v>
      </c>
      <c r="M6" s="34" t="s">
        <v>73</v>
      </c>
      <c r="N6" s="35" t="str">
        <f t="shared" ref="N6:N14" si="3">IF(K6="","",IF(K6&lt;=I6,"LOLOS",IF(K6&gt;=J6,"RETURN","HOLD")))</f>
        <v>RETURN</v>
      </c>
      <c r="O6" s="34" t="s">
        <v>74</v>
      </c>
      <c r="P6" s="34" t="s">
        <v>80</v>
      </c>
      <c r="Q6" s="34" t="s">
        <v>80</v>
      </c>
      <c r="R6" s="36" t="s">
        <v>81</v>
      </c>
      <c r="S6" s="36" t="str">
        <f t="shared" ref="S6:S14" si="4">C6</f>
        <v>10 Juni 2026</v>
      </c>
      <c r="T6" s="61">
        <v>2</v>
      </c>
      <c r="U6" s="36" t="str">
        <f>IF(S6="","",IF(S6&lt;=R6,"TEPAT WAKTU","DELAY"))</f>
        <v>TEPAT WAKTU</v>
      </c>
      <c r="V6" s="27"/>
      <c r="W6" s="1"/>
      <c r="X6" s="1"/>
      <c r="Y6" s="1"/>
      <c r="Z6" s="11" t="s">
        <v>38</v>
      </c>
      <c r="AA6" s="12" t="s">
        <v>82</v>
      </c>
      <c r="AB6" s="12" t="s">
        <v>57</v>
      </c>
      <c r="AC6" s="12" t="s">
        <v>54</v>
      </c>
      <c r="AD6" s="11" t="s">
        <v>59</v>
      </c>
      <c r="AE6" s="11" t="s">
        <v>60</v>
      </c>
      <c r="AF6" s="11" t="s">
        <v>61</v>
      </c>
      <c r="AG6" s="12" t="s">
        <v>83</v>
      </c>
      <c r="AH6" s="12" t="s">
        <v>67</v>
      </c>
    </row>
    <row r="7" spans="1:34" ht="15.75" customHeight="1" x14ac:dyDescent="0.25">
      <c r="A7" s="1"/>
      <c r="B7" s="34">
        <f t="shared" si="2"/>
        <v>3</v>
      </c>
      <c r="C7" s="34" t="s">
        <v>84</v>
      </c>
      <c r="D7" s="34" t="s">
        <v>85</v>
      </c>
      <c r="E7" s="34" t="s">
        <v>126</v>
      </c>
      <c r="F7" s="34">
        <v>25</v>
      </c>
      <c r="G7" s="34">
        <v>5</v>
      </c>
      <c r="H7" s="34" t="s">
        <v>91</v>
      </c>
      <c r="I7" s="34">
        <f t="shared" si="0"/>
        <v>0</v>
      </c>
      <c r="J7" s="34">
        <f t="shared" si="1"/>
        <v>1</v>
      </c>
      <c r="K7" s="39">
        <v>2</v>
      </c>
      <c r="L7" s="34" t="s">
        <v>141</v>
      </c>
      <c r="M7" s="34" t="s">
        <v>73</v>
      </c>
      <c r="N7" s="35" t="str">
        <f t="shared" si="3"/>
        <v>RETURN</v>
      </c>
      <c r="O7" s="34" t="s">
        <v>74</v>
      </c>
      <c r="P7" s="34" t="s">
        <v>75</v>
      </c>
      <c r="Q7" s="34" t="s">
        <v>75</v>
      </c>
      <c r="R7" s="36" t="s">
        <v>86</v>
      </c>
      <c r="S7" s="36" t="str">
        <f t="shared" si="4"/>
        <v>15 Juni 2026</v>
      </c>
      <c r="T7" s="61">
        <v>6</v>
      </c>
      <c r="U7" s="36" t="str">
        <f>IF(S7="","",IF(S7&lt;=R7,"TEPAT WAKTU","DELAY"))</f>
        <v>DELAY</v>
      </c>
      <c r="V7" s="38"/>
      <c r="W7" s="1"/>
      <c r="X7" s="1"/>
      <c r="Y7" s="1"/>
      <c r="Z7" s="13" t="s">
        <v>40</v>
      </c>
      <c r="AA7" s="13">
        <v>2</v>
      </c>
      <c r="AB7" s="14" t="s">
        <v>71</v>
      </c>
      <c r="AC7" s="25" t="s">
        <v>125</v>
      </c>
      <c r="AD7" s="13" t="s">
        <v>87</v>
      </c>
      <c r="AE7" s="13">
        <v>0</v>
      </c>
      <c r="AF7" s="13">
        <v>1</v>
      </c>
      <c r="AG7" s="14" t="s">
        <v>80</v>
      </c>
      <c r="AH7" s="14" t="s">
        <v>80</v>
      </c>
    </row>
    <row r="8" spans="1:34" ht="15.75" customHeight="1" x14ac:dyDescent="0.25">
      <c r="A8" s="1"/>
      <c r="B8" s="34">
        <f t="shared" si="2"/>
        <v>4</v>
      </c>
      <c r="C8" s="34" t="s">
        <v>88</v>
      </c>
      <c r="D8" s="34" t="s">
        <v>71</v>
      </c>
      <c r="E8" s="34" t="s">
        <v>126</v>
      </c>
      <c r="F8" s="34">
        <v>40</v>
      </c>
      <c r="G8" s="34">
        <v>8</v>
      </c>
      <c r="H8" s="34" t="s">
        <v>93</v>
      </c>
      <c r="I8" s="34">
        <f t="shared" si="0"/>
        <v>0</v>
      </c>
      <c r="J8" s="34">
        <f t="shared" si="1"/>
        <v>1</v>
      </c>
      <c r="K8" s="39">
        <v>0</v>
      </c>
      <c r="L8" s="34" t="s">
        <v>53</v>
      </c>
      <c r="M8" s="34" t="s">
        <v>53</v>
      </c>
      <c r="N8" s="35" t="str">
        <f t="shared" si="3"/>
        <v>LOLOS</v>
      </c>
      <c r="O8" s="34" t="s">
        <v>80</v>
      </c>
      <c r="P8" s="34" t="s">
        <v>80</v>
      </c>
      <c r="Q8" s="34" t="s">
        <v>80</v>
      </c>
      <c r="R8" s="36" t="s">
        <v>89</v>
      </c>
      <c r="S8" s="36" t="str">
        <f t="shared" si="4"/>
        <v>16 Juni 2026</v>
      </c>
      <c r="T8" s="61">
        <v>4</v>
      </c>
      <c r="U8" s="36" t="str">
        <f>IF(S8="","",IF(S8&lt;=R8,"TEPAT WAKTU","DELAY"))</f>
        <v>TEPAT WAKTU</v>
      </c>
      <c r="V8" s="36"/>
      <c r="W8" s="1"/>
      <c r="X8" s="1"/>
      <c r="Y8" s="1"/>
      <c r="Z8" s="13" t="s">
        <v>41</v>
      </c>
      <c r="AA8" s="13">
        <v>3</v>
      </c>
      <c r="AB8" s="14" t="s">
        <v>78</v>
      </c>
      <c r="AC8" s="25" t="s">
        <v>126</v>
      </c>
      <c r="AD8" s="13" t="s">
        <v>42</v>
      </c>
      <c r="AE8" s="13">
        <v>0</v>
      </c>
      <c r="AF8" s="13">
        <v>1</v>
      </c>
      <c r="AG8" s="14" t="s">
        <v>75</v>
      </c>
      <c r="AH8" s="14" t="s">
        <v>75</v>
      </c>
    </row>
    <row r="9" spans="1:34" ht="15.75" customHeight="1" x14ac:dyDescent="0.25">
      <c r="A9" s="1"/>
      <c r="B9" s="34">
        <f t="shared" si="2"/>
        <v>5</v>
      </c>
      <c r="C9" s="34" t="s">
        <v>89</v>
      </c>
      <c r="D9" s="34" t="s">
        <v>78</v>
      </c>
      <c r="E9" s="34" t="s">
        <v>127</v>
      </c>
      <c r="F9" s="34">
        <v>10</v>
      </c>
      <c r="G9" s="34">
        <v>3</v>
      </c>
      <c r="H9" s="34" t="s">
        <v>42</v>
      </c>
      <c r="I9" s="34">
        <f t="shared" si="0"/>
        <v>0</v>
      </c>
      <c r="J9" s="34">
        <f t="shared" si="1"/>
        <v>1</v>
      </c>
      <c r="K9" s="39">
        <v>0</v>
      </c>
      <c r="L9" s="34" t="s">
        <v>53</v>
      </c>
      <c r="M9" s="34" t="s">
        <v>53</v>
      </c>
      <c r="N9" s="35" t="str">
        <f t="shared" si="3"/>
        <v>LOLOS</v>
      </c>
      <c r="O9" s="34" t="s">
        <v>80</v>
      </c>
      <c r="P9" s="34" t="s">
        <v>80</v>
      </c>
      <c r="Q9" s="34" t="s">
        <v>80</v>
      </c>
      <c r="R9" s="36" t="s">
        <v>88</v>
      </c>
      <c r="S9" s="36" t="str">
        <f t="shared" si="4"/>
        <v>17 Juni 2026</v>
      </c>
      <c r="T9" s="61">
        <v>3</v>
      </c>
      <c r="U9" s="36" t="str">
        <f>IF(S9="","",IF(S9&lt;=R9,"TEPAT WAKTU","DELAY"))</f>
        <v>DELAY</v>
      </c>
      <c r="V9" s="36"/>
      <c r="W9" s="1"/>
      <c r="X9" s="1"/>
      <c r="Y9" s="1"/>
      <c r="Z9" s="13" t="s">
        <v>43</v>
      </c>
      <c r="AA9" s="13">
        <v>5</v>
      </c>
      <c r="AB9" s="14" t="s">
        <v>85</v>
      </c>
      <c r="AC9" s="25" t="s">
        <v>127</v>
      </c>
      <c r="AD9" s="13" t="s">
        <v>91</v>
      </c>
      <c r="AE9" s="13">
        <v>0</v>
      </c>
      <c r="AF9" s="13">
        <v>1</v>
      </c>
      <c r="AG9" s="14" t="s">
        <v>74</v>
      </c>
      <c r="AH9" s="14"/>
    </row>
    <row r="10" spans="1:34" ht="15.75" customHeight="1" x14ac:dyDescent="0.25">
      <c r="A10" s="1"/>
      <c r="B10" s="34">
        <f t="shared" si="2"/>
        <v>6</v>
      </c>
      <c r="C10" s="34" t="s">
        <v>92</v>
      </c>
      <c r="D10" s="34" t="s">
        <v>85</v>
      </c>
      <c r="E10" s="34" t="s">
        <v>126</v>
      </c>
      <c r="F10" s="34">
        <v>20</v>
      </c>
      <c r="G10" s="34">
        <v>5</v>
      </c>
      <c r="H10" s="34" t="s">
        <v>91</v>
      </c>
      <c r="I10" s="34">
        <f t="shared" si="0"/>
        <v>0</v>
      </c>
      <c r="J10" s="34">
        <f t="shared" si="1"/>
        <v>1</v>
      </c>
      <c r="K10" s="39">
        <v>1</v>
      </c>
      <c r="L10" s="34" t="s">
        <v>142</v>
      </c>
      <c r="M10" s="34" t="s">
        <v>73</v>
      </c>
      <c r="N10" s="35" t="str">
        <f t="shared" si="3"/>
        <v>RETURN</v>
      </c>
      <c r="O10" s="34" t="s">
        <v>74</v>
      </c>
      <c r="P10" s="34" t="s">
        <v>75</v>
      </c>
      <c r="Q10" s="34" t="s">
        <v>75</v>
      </c>
      <c r="R10" s="36" t="s">
        <v>89</v>
      </c>
      <c r="S10" s="36" t="str">
        <f t="shared" si="4"/>
        <v>18 Juni 2026</v>
      </c>
      <c r="T10" s="61">
        <v>5</v>
      </c>
      <c r="U10" s="36" t="str">
        <f>IF(S10="","",IF(S10&lt;=R10,"TEPAT WAKTU","DELAY"))</f>
        <v>DELAY</v>
      </c>
      <c r="V10" s="36"/>
      <c r="W10" s="1"/>
      <c r="X10" s="1"/>
      <c r="Y10" s="1"/>
      <c r="Z10" s="13" t="s">
        <v>44</v>
      </c>
      <c r="AA10" s="13">
        <v>8</v>
      </c>
      <c r="AB10" s="14"/>
      <c r="AC10" s="25"/>
      <c r="AD10" s="13" t="s">
        <v>93</v>
      </c>
      <c r="AE10" s="13">
        <v>0</v>
      </c>
      <c r="AF10" s="13">
        <v>1</v>
      </c>
      <c r="AG10" s="14"/>
      <c r="AH10" s="14"/>
    </row>
    <row r="11" spans="1:34" ht="15.75" customHeight="1" x14ac:dyDescent="0.25">
      <c r="A11" s="1"/>
      <c r="B11" s="34">
        <f t="shared" si="2"/>
        <v>7</v>
      </c>
      <c r="C11" s="34" t="s">
        <v>135</v>
      </c>
      <c r="D11" s="34" t="s">
        <v>71</v>
      </c>
      <c r="E11" s="34" t="s">
        <v>126</v>
      </c>
      <c r="F11" s="34">
        <v>30</v>
      </c>
      <c r="G11" s="34">
        <v>8</v>
      </c>
      <c r="H11" s="34" t="s">
        <v>93</v>
      </c>
      <c r="I11" s="34">
        <f t="shared" si="0"/>
        <v>0</v>
      </c>
      <c r="J11" s="34">
        <f t="shared" si="1"/>
        <v>1</v>
      </c>
      <c r="K11" s="40">
        <v>1</v>
      </c>
      <c r="L11" s="34" t="s">
        <v>143</v>
      </c>
      <c r="M11" s="34" t="s">
        <v>73</v>
      </c>
      <c r="N11" s="35" t="str">
        <f t="shared" si="3"/>
        <v>RETURN</v>
      </c>
      <c r="O11" s="34" t="s">
        <v>74</v>
      </c>
      <c r="P11" s="34" t="s">
        <v>75</v>
      </c>
      <c r="Q11" s="34" t="s">
        <v>75</v>
      </c>
      <c r="R11" s="36" t="s">
        <v>135</v>
      </c>
      <c r="S11" s="36" t="str">
        <f t="shared" si="4"/>
        <v>19 Juni 2026</v>
      </c>
      <c r="T11" s="61">
        <v>2</v>
      </c>
      <c r="U11" s="36" t="str">
        <f>IF(S11="","",IF(S11&lt;=R11,"TEPAT WAKTU","DELAY"))</f>
        <v>TEPAT WAKTU</v>
      </c>
      <c r="V11" s="36"/>
      <c r="W11" s="1"/>
      <c r="X11" s="1"/>
      <c r="Y11" s="1"/>
      <c r="Z11" s="13" t="s">
        <v>45</v>
      </c>
      <c r="AA11" s="13">
        <v>13</v>
      </c>
      <c r="AB11" s="14"/>
      <c r="AC11" s="14"/>
      <c r="AD11" s="13" t="s">
        <v>79</v>
      </c>
      <c r="AE11" s="13">
        <v>0</v>
      </c>
      <c r="AF11" s="13">
        <v>1</v>
      </c>
      <c r="AG11" s="14"/>
      <c r="AH11" s="14"/>
    </row>
    <row r="12" spans="1:34" ht="15.75" customHeight="1" x14ac:dyDescent="0.25">
      <c r="A12" s="1"/>
      <c r="B12" s="34">
        <f t="shared" si="2"/>
        <v>8</v>
      </c>
      <c r="C12" s="34" t="s">
        <v>137</v>
      </c>
      <c r="D12" s="34" t="s">
        <v>71</v>
      </c>
      <c r="E12" s="34" t="s">
        <v>127</v>
      </c>
      <c r="F12" s="34">
        <v>40</v>
      </c>
      <c r="G12" s="34">
        <v>8</v>
      </c>
      <c r="H12" s="34" t="s">
        <v>93</v>
      </c>
      <c r="I12" s="34">
        <f t="shared" si="0"/>
        <v>0</v>
      </c>
      <c r="J12" s="34">
        <f t="shared" si="1"/>
        <v>1</v>
      </c>
      <c r="K12" s="40">
        <v>0</v>
      </c>
      <c r="L12" s="34" t="s">
        <v>53</v>
      </c>
      <c r="M12" s="34" t="s">
        <v>53</v>
      </c>
      <c r="N12" s="35" t="str">
        <f t="shared" si="3"/>
        <v>LOLOS</v>
      </c>
      <c r="O12" s="34" t="s">
        <v>80</v>
      </c>
      <c r="P12" s="34" t="s">
        <v>80</v>
      </c>
      <c r="Q12" s="34" t="s">
        <v>80</v>
      </c>
      <c r="R12" s="36" t="s">
        <v>136</v>
      </c>
      <c r="S12" s="36" t="str">
        <f t="shared" si="4"/>
        <v>25 Juni 2026</v>
      </c>
      <c r="T12" s="61">
        <v>7</v>
      </c>
      <c r="U12" s="36" t="str">
        <f>IF(S12="","",IF(S12&lt;=R12,"TEPAT WAKTU","DELAY"))</f>
        <v>DELAY</v>
      </c>
      <c r="V12" s="36"/>
      <c r="W12" s="1"/>
      <c r="X12" s="1"/>
      <c r="Y12" s="1"/>
      <c r="Z12" s="13" t="s">
        <v>46</v>
      </c>
      <c r="AA12" s="13">
        <v>20</v>
      </c>
      <c r="AB12" s="14"/>
      <c r="AC12" s="14"/>
      <c r="AD12" s="13" t="s">
        <v>72</v>
      </c>
      <c r="AE12" s="13">
        <v>1</v>
      </c>
      <c r="AF12" s="13">
        <v>2</v>
      </c>
      <c r="AG12" s="14"/>
      <c r="AH12" s="14"/>
    </row>
    <row r="13" spans="1:34" ht="15.75" customHeight="1" x14ac:dyDescent="0.25">
      <c r="A13" s="1"/>
      <c r="B13" s="34">
        <f t="shared" si="2"/>
        <v>9</v>
      </c>
      <c r="C13" s="34" t="s">
        <v>138</v>
      </c>
      <c r="D13" s="34" t="s">
        <v>78</v>
      </c>
      <c r="E13" s="34" t="s">
        <v>127</v>
      </c>
      <c r="F13" s="34">
        <v>20</v>
      </c>
      <c r="G13" s="34">
        <v>5</v>
      </c>
      <c r="H13" s="34" t="s">
        <v>91</v>
      </c>
      <c r="I13" s="34">
        <f t="shared" si="0"/>
        <v>0</v>
      </c>
      <c r="J13" s="34">
        <f t="shared" si="1"/>
        <v>1</v>
      </c>
      <c r="K13" s="40">
        <v>1</v>
      </c>
      <c r="L13" s="34" t="s">
        <v>144</v>
      </c>
      <c r="M13" s="34" t="s">
        <v>73</v>
      </c>
      <c r="N13" s="35" t="str">
        <f t="shared" si="3"/>
        <v>RETURN</v>
      </c>
      <c r="O13" s="34" t="s">
        <v>74</v>
      </c>
      <c r="P13" s="34" t="s">
        <v>80</v>
      </c>
      <c r="Q13" s="34" t="s">
        <v>80</v>
      </c>
      <c r="R13" s="36" t="s">
        <v>139</v>
      </c>
      <c r="S13" s="36" t="str">
        <f t="shared" si="4"/>
        <v>27 Juni 2026</v>
      </c>
      <c r="T13" s="61">
        <v>5</v>
      </c>
      <c r="U13" s="36" t="str">
        <f>IF(S13="","",IF(S13&lt;=R13,"TEPAT WAKTU","DELAY"))</f>
        <v>TEPAT WAKTU</v>
      </c>
      <c r="V13" s="36"/>
      <c r="W13" s="1"/>
      <c r="X13" s="1"/>
      <c r="Y13" s="1"/>
      <c r="Z13" s="13" t="s">
        <v>47</v>
      </c>
      <c r="AA13" s="13">
        <v>32</v>
      </c>
      <c r="AB13" s="14"/>
      <c r="AC13" s="14"/>
      <c r="AD13" s="13" t="s">
        <v>48</v>
      </c>
      <c r="AE13" s="13">
        <v>2</v>
      </c>
      <c r="AF13" s="13">
        <v>3</v>
      </c>
      <c r="AG13" s="14"/>
      <c r="AH13" s="14"/>
    </row>
    <row r="14" spans="1:34" ht="15.75" customHeight="1" x14ac:dyDescent="0.25">
      <c r="A14" s="1"/>
      <c r="B14" s="34">
        <f t="shared" si="2"/>
        <v>10</v>
      </c>
      <c r="C14" s="34" t="s">
        <v>139</v>
      </c>
      <c r="D14" s="34" t="s">
        <v>71</v>
      </c>
      <c r="E14" s="34" t="s">
        <v>126</v>
      </c>
      <c r="F14" s="34">
        <v>45</v>
      </c>
      <c r="G14" s="34">
        <v>8</v>
      </c>
      <c r="H14" s="34" t="s">
        <v>93</v>
      </c>
      <c r="I14" s="34">
        <f t="shared" si="0"/>
        <v>0</v>
      </c>
      <c r="J14" s="34">
        <f t="shared" si="1"/>
        <v>1</v>
      </c>
      <c r="K14" s="40">
        <v>0</v>
      </c>
      <c r="L14" s="34" t="s">
        <v>53</v>
      </c>
      <c r="M14" s="34" t="s">
        <v>53</v>
      </c>
      <c r="N14" s="35" t="str">
        <f t="shared" si="3"/>
        <v>LOLOS</v>
      </c>
      <c r="O14" s="34" t="s">
        <v>80</v>
      </c>
      <c r="P14" s="34" t="s">
        <v>80</v>
      </c>
      <c r="Q14" s="34" t="s">
        <v>80</v>
      </c>
      <c r="R14" s="36" t="s">
        <v>139</v>
      </c>
      <c r="S14" s="36" t="str">
        <f t="shared" si="4"/>
        <v>28 Juni 2026</v>
      </c>
      <c r="T14" s="61">
        <v>2</v>
      </c>
      <c r="U14" s="36" t="str">
        <f>IF(S14="","",IF(S14&lt;=R14,"TEPAT WAKTU","DELAY"))</f>
        <v>TEPAT WAKTU</v>
      </c>
      <c r="V14" s="36"/>
      <c r="W14" s="1"/>
      <c r="X14" s="1"/>
      <c r="Y14" s="1"/>
      <c r="Z14" s="13" t="s">
        <v>49</v>
      </c>
      <c r="AA14" s="13">
        <v>50</v>
      </c>
      <c r="AB14" s="14"/>
      <c r="AC14" s="14"/>
      <c r="AD14" s="13" t="s">
        <v>90</v>
      </c>
      <c r="AE14" s="13">
        <v>3</v>
      </c>
      <c r="AF14" s="13">
        <v>4</v>
      </c>
      <c r="AG14" s="14"/>
      <c r="AH14" s="14"/>
    </row>
    <row r="15" spans="1:34" ht="15.75" customHeight="1" x14ac:dyDescent="0.25">
      <c r="A15" s="1"/>
      <c r="B15" s="34">
        <f t="shared" si="2"/>
        <v>11</v>
      </c>
      <c r="C15" s="34"/>
      <c r="D15" s="34"/>
      <c r="E15" s="34"/>
      <c r="F15" s="34"/>
      <c r="G15" s="34"/>
      <c r="H15" s="34"/>
      <c r="I15" s="34" t="str">
        <f t="shared" si="0"/>
        <v/>
      </c>
      <c r="J15" s="34" t="str">
        <f t="shared" si="1"/>
        <v/>
      </c>
      <c r="K15" s="34"/>
      <c r="L15" s="34"/>
      <c r="M15" s="34"/>
      <c r="N15" s="35" t="str">
        <f t="shared" ref="N15:N29" si="5">IF(K15="","",IF(K15&lt;=I15,"LOLOS",IF(K15&gt;=J15,"RETUR","HOLD")))</f>
        <v/>
      </c>
      <c r="O15" s="34"/>
      <c r="P15" s="34"/>
      <c r="Q15" s="34"/>
      <c r="R15" s="36"/>
      <c r="S15" s="36"/>
      <c r="T15" s="36"/>
      <c r="U15" s="36"/>
      <c r="V15" s="36"/>
      <c r="W15" s="1"/>
      <c r="X15" s="1"/>
      <c r="Y15" s="1"/>
      <c r="Z15" s="13" t="s">
        <v>50</v>
      </c>
      <c r="AA15" s="13">
        <v>80</v>
      </c>
      <c r="AB15" s="14"/>
      <c r="AC15" s="14"/>
      <c r="AD15" s="13" t="s">
        <v>94</v>
      </c>
      <c r="AE15" s="13">
        <v>5</v>
      </c>
      <c r="AF15" s="13">
        <v>6</v>
      </c>
      <c r="AG15" s="14"/>
      <c r="AH15" s="14"/>
    </row>
    <row r="16" spans="1:34" ht="15.75" customHeight="1" x14ac:dyDescent="0.25">
      <c r="A16" s="1"/>
      <c r="B16" s="34">
        <f t="shared" si="2"/>
        <v>12</v>
      </c>
      <c r="C16" s="34"/>
      <c r="D16" s="34"/>
      <c r="E16" s="34"/>
      <c r="F16" s="34"/>
      <c r="G16" s="34"/>
      <c r="H16" s="34"/>
      <c r="I16" s="34" t="str">
        <f t="shared" si="0"/>
        <v/>
      </c>
      <c r="J16" s="34" t="str">
        <f t="shared" si="1"/>
        <v/>
      </c>
      <c r="K16" s="34"/>
      <c r="L16" s="34"/>
      <c r="M16" s="34"/>
      <c r="N16" s="35" t="str">
        <f t="shared" si="5"/>
        <v/>
      </c>
      <c r="O16" s="34"/>
      <c r="P16" s="34"/>
      <c r="Q16" s="34"/>
      <c r="R16" s="36"/>
      <c r="S16" s="36"/>
      <c r="T16" s="36"/>
      <c r="U16" s="36"/>
      <c r="V16" s="36"/>
      <c r="W16" s="1"/>
      <c r="X16" s="1"/>
      <c r="Y16" s="1"/>
      <c r="Z16" s="13" t="s">
        <v>51</v>
      </c>
      <c r="AA16" s="13">
        <v>125</v>
      </c>
      <c r="AB16" s="14"/>
      <c r="AC16" s="14"/>
      <c r="AD16" s="13" t="s">
        <v>95</v>
      </c>
      <c r="AE16" s="13">
        <v>7</v>
      </c>
      <c r="AF16" s="13">
        <v>8</v>
      </c>
      <c r="AG16" s="14"/>
      <c r="AH16" s="14"/>
    </row>
    <row r="17" spans="1:34" ht="15.75" customHeight="1" x14ac:dyDescent="0.25">
      <c r="A17" s="1"/>
      <c r="B17" s="34">
        <f t="shared" si="2"/>
        <v>13</v>
      </c>
      <c r="C17" s="34"/>
      <c r="D17" s="34"/>
      <c r="E17" s="34"/>
      <c r="F17" s="34"/>
      <c r="G17" s="34"/>
      <c r="H17" s="34"/>
      <c r="I17" s="34" t="str">
        <f t="shared" si="0"/>
        <v/>
      </c>
      <c r="J17" s="34" t="str">
        <f t="shared" si="1"/>
        <v/>
      </c>
      <c r="K17" s="34"/>
      <c r="L17" s="34"/>
      <c r="M17" s="34"/>
      <c r="N17" s="35" t="str">
        <f t="shared" si="5"/>
        <v/>
      </c>
      <c r="O17" s="34"/>
      <c r="P17" s="34"/>
      <c r="Q17" s="34"/>
      <c r="R17" s="36"/>
      <c r="S17" s="36"/>
      <c r="T17" s="36"/>
      <c r="U17" s="36"/>
      <c r="V17" s="36"/>
      <c r="W17" s="1"/>
      <c r="X17" s="1"/>
      <c r="Y17" s="1"/>
      <c r="Z17" s="13" t="s">
        <v>52</v>
      </c>
      <c r="AA17" s="13">
        <v>200</v>
      </c>
      <c r="AB17" s="14"/>
      <c r="AC17" s="14"/>
      <c r="AD17" s="13" t="s">
        <v>96</v>
      </c>
      <c r="AE17" s="13">
        <v>10</v>
      </c>
      <c r="AF17" s="13">
        <v>11</v>
      </c>
      <c r="AG17" s="14"/>
      <c r="AH17" s="14"/>
    </row>
    <row r="18" spans="1:34" ht="15.75" customHeight="1" x14ac:dyDescent="0.25">
      <c r="A18" s="1"/>
      <c r="B18" s="34">
        <f t="shared" si="2"/>
        <v>14</v>
      </c>
      <c r="C18" s="34"/>
      <c r="D18" s="34"/>
      <c r="E18" s="34"/>
      <c r="F18" s="34"/>
      <c r="G18" s="34"/>
      <c r="H18" s="34"/>
      <c r="I18" s="34" t="str">
        <f t="shared" si="0"/>
        <v/>
      </c>
      <c r="J18" s="34" t="str">
        <f t="shared" si="1"/>
        <v/>
      </c>
      <c r="K18" s="34"/>
      <c r="L18" s="34"/>
      <c r="M18" s="34"/>
      <c r="N18" s="35" t="str">
        <f t="shared" si="5"/>
        <v/>
      </c>
      <c r="O18" s="34"/>
      <c r="P18" s="34"/>
      <c r="Q18" s="34"/>
      <c r="R18" s="36"/>
      <c r="S18" s="36"/>
      <c r="T18" s="36"/>
      <c r="U18" s="36"/>
      <c r="V18" s="36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5.75" customHeight="1" x14ac:dyDescent="0.25">
      <c r="A19" s="1"/>
      <c r="B19" s="34">
        <f t="shared" si="2"/>
        <v>15</v>
      </c>
      <c r="C19" s="34"/>
      <c r="D19" s="34"/>
      <c r="E19" s="34"/>
      <c r="F19" s="34"/>
      <c r="G19" s="34"/>
      <c r="H19" s="34"/>
      <c r="I19" s="34" t="str">
        <f t="shared" si="0"/>
        <v/>
      </c>
      <c r="J19" s="34" t="str">
        <f t="shared" si="1"/>
        <v/>
      </c>
      <c r="K19" s="34"/>
      <c r="L19" s="34"/>
      <c r="M19" s="34"/>
      <c r="N19" s="35" t="str">
        <f t="shared" si="5"/>
        <v/>
      </c>
      <c r="O19" s="34"/>
      <c r="P19" s="34"/>
      <c r="Q19" s="34"/>
      <c r="R19" s="36"/>
      <c r="S19" s="36"/>
      <c r="T19" s="36"/>
      <c r="U19" s="36"/>
      <c r="V19" s="3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5.75" customHeight="1" x14ac:dyDescent="0.25">
      <c r="A20" s="1"/>
      <c r="B20" s="34">
        <f t="shared" si="2"/>
        <v>16</v>
      </c>
      <c r="C20" s="34"/>
      <c r="D20" s="34"/>
      <c r="E20" s="34"/>
      <c r="F20" s="34"/>
      <c r="G20" s="34"/>
      <c r="H20" s="34"/>
      <c r="I20" s="34" t="str">
        <f t="shared" si="0"/>
        <v/>
      </c>
      <c r="J20" s="34" t="str">
        <f t="shared" si="1"/>
        <v/>
      </c>
      <c r="K20" s="34"/>
      <c r="L20" s="34"/>
      <c r="M20" s="34"/>
      <c r="N20" s="35" t="str">
        <f t="shared" si="5"/>
        <v/>
      </c>
      <c r="O20" s="34"/>
      <c r="P20" s="34"/>
      <c r="Q20" s="34"/>
      <c r="R20" s="36"/>
      <c r="S20" s="36"/>
      <c r="T20" s="36"/>
      <c r="U20" s="36"/>
      <c r="V20" s="36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customHeight="1" x14ac:dyDescent="0.25">
      <c r="A21" s="1"/>
      <c r="B21" s="34">
        <f t="shared" si="2"/>
        <v>17</v>
      </c>
      <c r="C21" s="34"/>
      <c r="D21" s="34"/>
      <c r="E21" s="34"/>
      <c r="F21" s="34"/>
      <c r="G21" s="34"/>
      <c r="H21" s="34"/>
      <c r="I21" s="34" t="str">
        <f t="shared" si="0"/>
        <v/>
      </c>
      <c r="J21" s="34" t="str">
        <f t="shared" si="1"/>
        <v/>
      </c>
      <c r="K21" s="34"/>
      <c r="L21" s="34"/>
      <c r="M21" s="34"/>
      <c r="N21" s="35" t="str">
        <f t="shared" si="5"/>
        <v/>
      </c>
      <c r="O21" s="34"/>
      <c r="P21" s="34"/>
      <c r="Q21" s="34"/>
      <c r="R21" s="36"/>
      <c r="S21" s="36"/>
      <c r="T21" s="36"/>
      <c r="U21" s="36"/>
      <c r="V21" s="3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customHeight="1" x14ac:dyDescent="0.25">
      <c r="A22" s="1"/>
      <c r="B22" s="34">
        <f t="shared" si="2"/>
        <v>18</v>
      </c>
      <c r="C22" s="34"/>
      <c r="D22" s="34"/>
      <c r="E22" s="34"/>
      <c r="F22" s="34"/>
      <c r="G22" s="34"/>
      <c r="H22" s="34"/>
      <c r="I22" s="34" t="str">
        <f t="shared" si="0"/>
        <v/>
      </c>
      <c r="J22" s="34" t="str">
        <f t="shared" si="1"/>
        <v/>
      </c>
      <c r="K22" s="34"/>
      <c r="L22" s="34"/>
      <c r="M22" s="34"/>
      <c r="N22" s="35" t="str">
        <f t="shared" si="5"/>
        <v/>
      </c>
      <c r="O22" s="34"/>
      <c r="P22" s="34"/>
      <c r="Q22" s="34"/>
      <c r="R22" s="36"/>
      <c r="S22" s="36"/>
      <c r="T22" s="36"/>
      <c r="U22" s="36"/>
      <c r="V22" s="3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 x14ac:dyDescent="0.25">
      <c r="A23" s="1"/>
      <c r="B23" s="34">
        <f t="shared" si="2"/>
        <v>19</v>
      </c>
      <c r="C23" s="34"/>
      <c r="D23" s="34"/>
      <c r="E23" s="34"/>
      <c r="F23" s="34"/>
      <c r="G23" s="34"/>
      <c r="H23" s="34"/>
      <c r="I23" s="34" t="str">
        <f t="shared" si="0"/>
        <v/>
      </c>
      <c r="J23" s="34" t="str">
        <f t="shared" si="1"/>
        <v/>
      </c>
      <c r="K23" s="34"/>
      <c r="L23" s="34"/>
      <c r="M23" s="34"/>
      <c r="N23" s="35" t="str">
        <f t="shared" si="5"/>
        <v/>
      </c>
      <c r="O23" s="34"/>
      <c r="P23" s="34"/>
      <c r="Q23" s="34"/>
      <c r="R23" s="36"/>
      <c r="S23" s="36"/>
      <c r="T23" s="36"/>
      <c r="U23" s="36"/>
      <c r="V23" s="3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 x14ac:dyDescent="0.25">
      <c r="A24" s="1"/>
      <c r="B24" s="34">
        <f t="shared" si="2"/>
        <v>20</v>
      </c>
      <c r="C24" s="34"/>
      <c r="D24" s="34"/>
      <c r="E24" s="34"/>
      <c r="F24" s="34"/>
      <c r="G24" s="34"/>
      <c r="H24" s="34"/>
      <c r="I24" s="34" t="str">
        <f t="shared" si="0"/>
        <v/>
      </c>
      <c r="J24" s="34" t="str">
        <f t="shared" si="1"/>
        <v/>
      </c>
      <c r="K24" s="34"/>
      <c r="L24" s="34"/>
      <c r="M24" s="34"/>
      <c r="N24" s="35" t="str">
        <f t="shared" si="5"/>
        <v/>
      </c>
      <c r="O24" s="34"/>
      <c r="P24" s="34"/>
      <c r="Q24" s="34"/>
      <c r="R24" s="36"/>
      <c r="S24" s="36"/>
      <c r="T24" s="36"/>
      <c r="U24" s="36"/>
      <c r="V24" s="3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x14ac:dyDescent="0.25">
      <c r="A25" s="1"/>
      <c r="B25" s="34">
        <f t="shared" si="2"/>
        <v>21</v>
      </c>
      <c r="C25" s="34"/>
      <c r="D25" s="34"/>
      <c r="E25" s="34"/>
      <c r="F25" s="34"/>
      <c r="G25" s="34"/>
      <c r="H25" s="34"/>
      <c r="I25" s="34" t="str">
        <f t="shared" si="0"/>
        <v/>
      </c>
      <c r="J25" s="34" t="str">
        <f t="shared" si="1"/>
        <v/>
      </c>
      <c r="K25" s="34"/>
      <c r="L25" s="34"/>
      <c r="M25" s="34"/>
      <c r="N25" s="35" t="str">
        <f t="shared" si="5"/>
        <v/>
      </c>
      <c r="O25" s="34"/>
      <c r="P25" s="34"/>
      <c r="Q25" s="34"/>
      <c r="R25" s="36"/>
      <c r="S25" s="36"/>
      <c r="T25" s="36"/>
      <c r="U25" s="36"/>
      <c r="V25" s="3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customHeight="1" x14ac:dyDescent="0.25">
      <c r="A26" s="1"/>
      <c r="B26" s="34">
        <f t="shared" si="2"/>
        <v>22</v>
      </c>
      <c r="C26" s="34"/>
      <c r="D26" s="34"/>
      <c r="E26" s="34"/>
      <c r="F26" s="34"/>
      <c r="G26" s="34"/>
      <c r="H26" s="34"/>
      <c r="I26" s="34" t="str">
        <f t="shared" si="0"/>
        <v/>
      </c>
      <c r="J26" s="34" t="str">
        <f t="shared" si="1"/>
        <v/>
      </c>
      <c r="K26" s="34"/>
      <c r="L26" s="34"/>
      <c r="M26" s="34"/>
      <c r="N26" s="35" t="str">
        <f t="shared" si="5"/>
        <v/>
      </c>
      <c r="O26" s="34"/>
      <c r="P26" s="34"/>
      <c r="Q26" s="34"/>
      <c r="R26" s="36"/>
      <c r="S26" s="36"/>
      <c r="T26" s="36"/>
      <c r="U26" s="36"/>
      <c r="V26" s="3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customHeight="1" x14ac:dyDescent="0.25">
      <c r="A27" s="1"/>
      <c r="B27" s="34">
        <f t="shared" si="2"/>
        <v>23</v>
      </c>
      <c r="C27" s="34"/>
      <c r="D27" s="34"/>
      <c r="E27" s="34"/>
      <c r="F27" s="34"/>
      <c r="G27" s="34"/>
      <c r="H27" s="34"/>
      <c r="I27" s="34" t="str">
        <f t="shared" si="0"/>
        <v/>
      </c>
      <c r="J27" s="34" t="str">
        <f t="shared" si="1"/>
        <v/>
      </c>
      <c r="K27" s="34"/>
      <c r="L27" s="34"/>
      <c r="M27" s="37"/>
      <c r="N27" s="35" t="str">
        <f t="shared" si="5"/>
        <v/>
      </c>
      <c r="O27" s="34"/>
      <c r="P27" s="34"/>
      <c r="Q27" s="34"/>
      <c r="R27" s="36"/>
      <c r="S27" s="36"/>
      <c r="T27" s="36"/>
      <c r="U27" s="36"/>
      <c r="V27" s="3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customHeight="1" x14ac:dyDescent="0.25">
      <c r="A28" s="1"/>
      <c r="B28" s="34">
        <f t="shared" si="2"/>
        <v>24</v>
      </c>
      <c r="C28" s="34"/>
      <c r="D28" s="34"/>
      <c r="E28" s="34"/>
      <c r="F28" s="34"/>
      <c r="G28" s="34"/>
      <c r="H28" s="34"/>
      <c r="I28" s="34" t="str">
        <f t="shared" si="0"/>
        <v/>
      </c>
      <c r="J28" s="34" t="str">
        <f t="shared" si="1"/>
        <v/>
      </c>
      <c r="K28" s="34"/>
      <c r="L28" s="34"/>
      <c r="M28" s="34"/>
      <c r="N28" s="35" t="str">
        <f t="shared" si="5"/>
        <v/>
      </c>
      <c r="O28" s="34"/>
      <c r="P28" s="34"/>
      <c r="Q28" s="34"/>
      <c r="R28" s="36"/>
      <c r="S28" s="36"/>
      <c r="T28" s="36"/>
      <c r="U28" s="36"/>
      <c r="V28" s="3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 x14ac:dyDescent="0.25">
      <c r="A29" s="1"/>
      <c r="B29" s="34">
        <f t="shared" si="2"/>
        <v>25</v>
      </c>
      <c r="C29" s="34"/>
      <c r="D29" s="34"/>
      <c r="E29" s="34"/>
      <c r="F29" s="34"/>
      <c r="G29" s="34"/>
      <c r="H29" s="34"/>
      <c r="I29" s="34" t="str">
        <f t="shared" si="0"/>
        <v/>
      </c>
      <c r="J29" s="34" t="str">
        <f t="shared" si="1"/>
        <v/>
      </c>
      <c r="K29" s="34"/>
      <c r="L29" s="34"/>
      <c r="M29" s="34"/>
      <c r="N29" s="35" t="str">
        <f t="shared" si="5"/>
        <v/>
      </c>
      <c r="O29" s="34"/>
      <c r="P29" s="34"/>
      <c r="Q29" s="34"/>
      <c r="R29" s="36"/>
      <c r="S29" s="36"/>
      <c r="T29" s="36"/>
      <c r="U29" s="36"/>
      <c r="V29" s="3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 x14ac:dyDescent="0.25">
      <c r="A30" s="1"/>
      <c r="B30" s="34">
        <f t="shared" si="2"/>
        <v>26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 x14ac:dyDescent="0.25">
      <c r="A31" s="1"/>
      <c r="B31" s="34">
        <f t="shared" si="2"/>
        <v>27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 x14ac:dyDescent="0.25">
      <c r="A32" s="1"/>
      <c r="B32" s="34">
        <f t="shared" si="2"/>
        <v>28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 x14ac:dyDescent="0.25">
      <c r="A33" s="1"/>
      <c r="B33" s="34">
        <f t="shared" si="2"/>
        <v>29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7"/>
      <c r="R33" s="36"/>
      <c r="S33" s="36"/>
      <c r="T33" s="36"/>
      <c r="U33" s="36"/>
      <c r="V33" s="3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 x14ac:dyDescent="0.25">
      <c r="A34" s="1"/>
      <c r="B34" s="34">
        <f t="shared" si="2"/>
        <v>30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 x14ac:dyDescent="0.25">
      <c r="A35" s="1"/>
      <c r="B35" s="34">
        <f t="shared" si="2"/>
        <v>31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 x14ac:dyDescent="0.25">
      <c r="A36" s="1"/>
      <c r="B36" s="34">
        <f t="shared" si="2"/>
        <v>32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 x14ac:dyDescent="0.25">
      <c r="A37" s="1"/>
      <c r="B37" s="34">
        <f t="shared" si="2"/>
        <v>33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 x14ac:dyDescent="0.25">
      <c r="A38" s="1"/>
      <c r="B38" s="34">
        <f t="shared" si="2"/>
        <v>34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 x14ac:dyDescent="0.25">
      <c r="A39" s="1"/>
      <c r="B39" s="34">
        <f t="shared" si="2"/>
        <v>35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x14ac:dyDescent="0.25">
      <c r="A40" s="1"/>
      <c r="B40" s="34">
        <f t="shared" si="2"/>
        <v>36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 x14ac:dyDescent="0.25">
      <c r="A41" s="1"/>
      <c r="B41" s="34">
        <f t="shared" si="2"/>
        <v>37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 x14ac:dyDescent="0.25">
      <c r="A42" s="1"/>
      <c r="B42" s="34">
        <f t="shared" si="2"/>
        <v>38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 x14ac:dyDescent="0.25">
      <c r="A43" s="1"/>
      <c r="B43" s="34">
        <f t="shared" si="2"/>
        <v>39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 x14ac:dyDescent="0.25">
      <c r="A44" s="1"/>
      <c r="B44" s="34">
        <f t="shared" si="2"/>
        <v>40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 x14ac:dyDescent="0.25">
      <c r="A45" s="1"/>
      <c r="B45" s="34">
        <f t="shared" si="2"/>
        <v>41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 x14ac:dyDescent="0.25">
      <c r="A46" s="1"/>
      <c r="B46" s="34">
        <f t="shared" si="2"/>
        <v>42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 x14ac:dyDescent="0.25">
      <c r="A47" s="1"/>
      <c r="B47" s="34">
        <f t="shared" si="2"/>
        <v>43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 x14ac:dyDescent="0.25">
      <c r="A48" s="1"/>
      <c r="B48" s="34">
        <f t="shared" si="2"/>
        <v>44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 x14ac:dyDescent="0.25">
      <c r="A49" s="1"/>
      <c r="B49" s="34">
        <f t="shared" si="2"/>
        <v>45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 x14ac:dyDescent="0.25">
      <c r="A50" s="1"/>
      <c r="B50" s="34">
        <f t="shared" si="2"/>
        <v>46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phoneticPr fontId="8" type="noConversion"/>
  <dataValidations count="6">
    <dataValidation type="list" allowBlank="1" showErrorMessage="1" sqref="D5:D29" xr:uid="{00000000-0002-0000-0200-000000000000}">
      <formula1>$AB$7:$AB$9</formula1>
    </dataValidation>
    <dataValidation type="list" allowBlank="1" showErrorMessage="1" sqref="E4:E29" xr:uid="{00000000-0002-0000-0200-000001000000}">
      <formula1>$AC$7:$AC$9</formula1>
    </dataValidation>
    <dataValidation type="list" allowBlank="1" showErrorMessage="1" sqref="G5:G29" xr:uid="{00000000-0002-0000-0200-000002000000}">
      <formula1>$AA$7:$AA$17</formula1>
    </dataValidation>
    <dataValidation type="list" allowBlank="1" showErrorMessage="1" sqref="H5:H29" xr:uid="{00000000-0002-0000-0200-000003000000}">
      <formula1>$AD$7:$AD$17</formula1>
    </dataValidation>
    <dataValidation type="list" allowBlank="1" showErrorMessage="1" sqref="Q5:Q29" xr:uid="{00000000-0002-0000-0200-000004000000}">
      <formula1>$AH$7:$AH$8</formula1>
    </dataValidation>
    <dataValidation type="list" allowBlank="1" showErrorMessage="1" sqref="O5:O29" xr:uid="{00000000-0002-0000-0200-000005000000}">
      <formula1>$AG$7:$AG$9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B1" zoomScale="85" zoomScaleNormal="85" workbookViewId="0">
      <selection activeCell="F5" sqref="F5"/>
    </sheetView>
  </sheetViews>
  <sheetFormatPr defaultColWidth="14.42578125" defaultRowHeight="15" customHeight="1" x14ac:dyDescent="0.25"/>
  <cols>
    <col min="1" max="1" width="8.7109375" customWidth="1"/>
    <col min="2" max="2" width="18.28515625" bestFit="1" customWidth="1"/>
    <col min="3" max="3" width="19" bestFit="1" customWidth="1"/>
    <col min="4" max="4" width="15" bestFit="1" customWidth="1"/>
    <col min="5" max="5" width="25.140625" bestFit="1" customWidth="1"/>
    <col min="6" max="6" width="23.28515625" bestFit="1" customWidth="1"/>
    <col min="7" max="7" width="18" customWidth="1"/>
    <col min="8" max="8" width="13.85546875" customWidth="1"/>
    <col min="9" max="9" width="18.28515625" bestFit="1" customWidth="1"/>
    <col min="10" max="10" width="22" bestFit="1" customWidth="1"/>
    <col min="11" max="11" width="18.28515625" bestFit="1" customWidth="1"/>
    <col min="12" max="12" width="11" customWidth="1"/>
    <col min="13" max="14" width="16.42578125" customWidth="1"/>
    <col min="15" max="26" width="8.710937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6" ht="15.75" customHeight="1" x14ac:dyDescent="0.25">
      <c r="A3" s="1"/>
      <c r="B3" s="41"/>
      <c r="C3" s="43"/>
      <c r="D3" s="42"/>
      <c r="E3" s="42"/>
      <c r="F3" s="42"/>
      <c r="G3" s="4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6" ht="15.75" customHeight="1" x14ac:dyDescent="0.25">
      <c r="A4" s="1"/>
      <c r="B4" s="2" t="s">
        <v>54</v>
      </c>
      <c r="C4" s="2" t="s">
        <v>146</v>
      </c>
      <c r="D4" s="2" t="s">
        <v>147</v>
      </c>
      <c r="E4" s="10" t="s">
        <v>148</v>
      </c>
      <c r="F4" s="10" t="s">
        <v>115</v>
      </c>
      <c r="G4" s="15" t="s">
        <v>116</v>
      </c>
      <c r="H4" s="57" t="s">
        <v>151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6" ht="15.75" customHeight="1" x14ac:dyDescent="0.25">
      <c r="A5" s="1"/>
      <c r="B5" s="7" t="s">
        <v>125</v>
      </c>
      <c r="C5" s="44">
        <f>COUNTIF('IMPLEMENTASI AQL'!$E$5:$E$29,"SURYA SANTOSA")</f>
        <v>2</v>
      </c>
      <c r="D5" s="44">
        <f>COUNTIFS('IMPLEMENTASI AQL'!$E$5:$E$29,B5,'IMPLEMENTASI AQL'!$Q$5:$Q$29,"RETURN")</f>
        <v>0</v>
      </c>
      <c r="E5" s="45">
        <f>COUNTIF('IMPLEMENTASI AQL'!E5:E29,"SURYA SANTOSA")</f>
        <v>2</v>
      </c>
      <c r="F5" s="45">
        <f>COUNTIFS('IMPLEMENTASI AQL'!E5:E29,"SURYA SANTOSA",'IMPLEMENTASI AQL'!U5:U29,"DELAY")</f>
        <v>0</v>
      </c>
      <c r="G5" s="16">
        <v>75</v>
      </c>
      <c r="H5" s="23">
        <f>ROUND(AVERAGEIF('IMPLEMENTASI AQL'!$E$5:$E$29,B5,'IMPLEMENTASI AQL'!$T$5:$T$29),2)</f>
        <v>3.5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6" ht="15.75" x14ac:dyDescent="0.25">
      <c r="A6" s="1"/>
      <c r="B6" s="7" t="s">
        <v>126</v>
      </c>
      <c r="C6" s="44">
        <f>COUNTIF('IMPLEMENTASI AQL'!$E$5:$E$29,"FOCUS TEKSTIL")</f>
        <v>5</v>
      </c>
      <c r="D6" s="44">
        <f>COUNTIFS('IMPLEMENTASI AQL'!$E$5:$E$29,B6,'IMPLEMENTASI AQL'!$Q$5:$Q$29,"RETURN")</f>
        <v>3</v>
      </c>
      <c r="E6" s="45">
        <f>COUNTIF('IMPLEMENTASI AQL'!E5:E29,"FOCUS TEKSTIL")</f>
        <v>5</v>
      </c>
      <c r="F6" s="45">
        <f>COUNTIFS('IMPLEMENTASI AQL'!E5:E29,"FOCUS TEKSTIL",'IMPLEMENTASI AQL'!U5:U29,"DELAY")</f>
        <v>2</v>
      </c>
      <c r="G6" s="16">
        <v>73</v>
      </c>
      <c r="H6" s="23">
        <f>ROUND(AVERAGEIF('IMPLEMENTASI AQL'!$E$5:$E$29,B6,'IMPLEMENTASI AQL'!$T$5:$T$29),2)</f>
        <v>3.8</v>
      </c>
      <c r="I6" s="1"/>
      <c r="J6" s="1"/>
      <c r="K6" s="1"/>
      <c r="L6" s="1"/>
    </row>
    <row r="7" spans="1:26" ht="15.75" customHeight="1" thickBot="1" x14ac:dyDescent="0.3">
      <c r="A7" s="1"/>
      <c r="B7" s="7" t="s">
        <v>127</v>
      </c>
      <c r="C7" s="44">
        <f>COUNTIF('IMPLEMENTASI AQL'!$E$5:$E$29,"D&amp;D TEKSTIL")</f>
        <v>3</v>
      </c>
      <c r="D7" s="44">
        <f>COUNTIFS('IMPLEMENTASI AQL'!$E$5:$E$29,B7,'IMPLEMENTASI AQL'!$Q$5:$Q$29,"RETURN")</f>
        <v>0</v>
      </c>
      <c r="E7" s="45">
        <f>COUNTIF('IMPLEMENTASI AQL'!E5:E29,"D&amp;D TEKSTIL")</f>
        <v>3</v>
      </c>
      <c r="F7" s="45">
        <f>COUNTIFS('IMPLEMENTASI AQL'!E5:E29,"D&amp;D TEKSTIL",'IMPLEMENTASI AQL'!U5:U29,"DELAY")</f>
        <v>2</v>
      </c>
      <c r="G7" s="16">
        <v>72</v>
      </c>
      <c r="H7" s="23">
        <f>ROUND(AVERAGEIF('IMPLEMENTASI AQL'!$E$5:$E$29,B7,'IMPLEMENTASI AQL'!$T$5:$T$29),2)</f>
        <v>5</v>
      </c>
      <c r="I7" s="1"/>
      <c r="J7" s="1"/>
      <c r="K7" s="1"/>
      <c r="L7" s="1"/>
    </row>
    <row r="8" spans="1:26" ht="15.75" customHeight="1" thickBot="1" x14ac:dyDescent="0.3">
      <c r="A8" s="1"/>
      <c r="G8" s="1"/>
      <c r="H8" s="1"/>
      <c r="I8" s="1"/>
      <c r="J8" s="46" t="s">
        <v>149</v>
      </c>
      <c r="K8" s="1"/>
      <c r="L8" s="1"/>
      <c r="M8" s="1"/>
      <c r="N8" s="1"/>
      <c r="O8" s="1"/>
      <c r="P8" s="1"/>
      <c r="Q8" s="1"/>
      <c r="R8" s="1"/>
    </row>
    <row r="9" spans="1:26" ht="15.75" customHeight="1" x14ac:dyDescent="0.25">
      <c r="A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6" ht="15.75" customHeight="1" x14ac:dyDescent="0.25">
      <c r="A10" s="1"/>
      <c r="B10" s="9" t="s">
        <v>54</v>
      </c>
      <c r="C10" s="9" t="s">
        <v>117</v>
      </c>
      <c r="D10" s="9" t="s">
        <v>118</v>
      </c>
      <c r="E10" s="29" t="s">
        <v>152</v>
      </c>
      <c r="F10" s="9" t="s">
        <v>119</v>
      </c>
      <c r="G10" s="9" t="s">
        <v>120</v>
      </c>
      <c r="H10" s="9" t="s">
        <v>121</v>
      </c>
      <c r="J10" s="34" t="str">
        <f>C10</f>
        <v>Quality</v>
      </c>
      <c r="K10" s="59">
        <v>0.5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7" t="str">
        <f>B5</f>
        <v>SURYA SANTOSA</v>
      </c>
      <c r="C11" s="8">
        <f>((C5-D5)/C5)*100</f>
        <v>100</v>
      </c>
      <c r="D11" s="7">
        <f>(E5-F5)/E5*100</f>
        <v>100</v>
      </c>
      <c r="E11" s="58">
        <f>ROUND((MAX($H$5:$H$7)-H5)/(MAX($H$5:$H$7)-MIN($H$5:$H$7))*100,2)</f>
        <v>100</v>
      </c>
      <c r="F11" s="8">
        <f>((G7/G5)*100)</f>
        <v>96</v>
      </c>
      <c r="G11" s="8">
        <f>(C11*$K$10)+(D11*$K$11)+(F11*$K$12)+(E11*$K$13)</f>
        <v>99.2</v>
      </c>
      <c r="H11" s="7">
        <f>RANK(G11,$G$11:$G$13,0)</f>
        <v>1</v>
      </c>
      <c r="J11" s="34" t="str">
        <f>D10</f>
        <v>Delivery</v>
      </c>
      <c r="K11" s="59">
        <v>0.15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7" t="str">
        <f t="shared" ref="B12:B13" si="0">B6</f>
        <v>FOCUS TEKSTIL</v>
      </c>
      <c r="C12" s="8">
        <f>((C6-D6)/C6)*100</f>
        <v>40</v>
      </c>
      <c r="D12" s="7">
        <f>(E6-F6)/E6*100</f>
        <v>60</v>
      </c>
      <c r="E12" s="58">
        <f t="shared" ref="E12:E13" si="1">ROUND((MAX($H$5:$H$7)-H6)/(MAX($H$5:$H$7)-MIN($H$5:$H$7))*100,2)</f>
        <v>80</v>
      </c>
      <c r="F12" s="8">
        <f>((G7/G6)*100)</f>
        <v>98.630136986301366</v>
      </c>
      <c r="G12" s="8">
        <f>(C12*$K$10)+(D12*$K$11)+(F12*$K$12)+(E12*$K$13)</f>
        <v>60.726027397260275</v>
      </c>
      <c r="H12" s="7">
        <f>RANK(G12,$G$11:$G$13,0)</f>
        <v>3</v>
      </c>
      <c r="J12" s="34" t="str">
        <f>F10</f>
        <v>Price</v>
      </c>
      <c r="K12" s="59">
        <v>0.2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7" t="str">
        <f t="shared" si="0"/>
        <v>D&amp;D TEKSTIL</v>
      </c>
      <c r="C13" s="8">
        <f t="shared" ref="C13" si="2">((C7-D7)/C7)*100</f>
        <v>100</v>
      </c>
      <c r="D13" s="8">
        <f>(E7-F7)/E7*100</f>
        <v>33.333333333333329</v>
      </c>
      <c r="E13" s="58">
        <f t="shared" si="1"/>
        <v>0</v>
      </c>
      <c r="F13" s="8">
        <f>((G7/G7)*100)</f>
        <v>100</v>
      </c>
      <c r="G13" s="7">
        <f>(C13*$K$10)+(D13*$K$11)+(F13*$K$12)+(E13*$K$13)</f>
        <v>75</v>
      </c>
      <c r="H13" s="7">
        <f>RANK(G13,$G$11:$G$13,0)</f>
        <v>2</v>
      </c>
      <c r="I13" s="1"/>
      <c r="J13" s="60" t="s">
        <v>151</v>
      </c>
      <c r="K13" s="59">
        <v>0.15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K1000"/>
  <sheetViews>
    <sheetView tabSelected="1" zoomScale="70" zoomScaleNormal="70" workbookViewId="0">
      <selection activeCell="I21" sqref="I21"/>
    </sheetView>
  </sheetViews>
  <sheetFormatPr defaultColWidth="14.42578125" defaultRowHeight="15" customHeight="1" x14ac:dyDescent="0.25"/>
  <cols>
    <col min="2" max="2" width="17.5703125" bestFit="1" customWidth="1"/>
    <col min="3" max="3" width="13.5703125" bestFit="1" customWidth="1"/>
    <col min="4" max="5" width="19.85546875" bestFit="1" customWidth="1"/>
    <col min="6" max="6" width="18.7109375" bestFit="1" customWidth="1"/>
    <col min="7" max="7" width="14.42578125" bestFit="1" customWidth="1"/>
    <col min="8" max="8" width="15.5703125" bestFit="1" customWidth="1"/>
    <col min="9" max="9" width="26.28515625" bestFit="1" customWidth="1"/>
    <col min="10" max="10" width="28.7109375" bestFit="1" customWidth="1"/>
    <col min="11" max="11" width="22.140625" bestFit="1" customWidth="1"/>
    <col min="12" max="12" width="6" customWidth="1"/>
    <col min="13" max="13" width="17.5703125" bestFit="1" customWidth="1"/>
    <col min="14" max="14" width="14.7109375" customWidth="1"/>
    <col min="15" max="15" width="19.140625" customWidth="1"/>
    <col min="16" max="16" width="15.42578125" customWidth="1"/>
    <col min="17" max="17" width="18.42578125" bestFit="1" customWidth="1"/>
    <col min="18" max="18" width="25.5703125" bestFit="1" customWidth="1"/>
    <col min="19" max="19" width="15.5703125" bestFit="1" customWidth="1"/>
    <col min="20" max="20" width="26.85546875" customWidth="1"/>
    <col min="21" max="21" width="30.28515625" customWidth="1"/>
    <col min="22" max="22" width="28.7109375" bestFit="1" customWidth="1"/>
    <col min="23" max="23" width="8.5703125" customWidth="1"/>
    <col min="24" max="24" width="24.140625" bestFit="1" customWidth="1"/>
    <col min="25" max="25" width="14.7109375" customWidth="1"/>
    <col min="26" max="26" width="19.140625" customWidth="1"/>
    <col min="27" max="27" width="19.42578125" bestFit="1" customWidth="1"/>
    <col min="28" max="28" width="18.7109375" bestFit="1" customWidth="1"/>
    <col min="29" max="29" width="25.5703125" bestFit="1" customWidth="1"/>
    <col min="30" max="30" width="12.5703125" customWidth="1"/>
    <col min="31" max="31" width="26.7109375" customWidth="1"/>
    <col min="32" max="32" width="30.28515625" customWidth="1"/>
    <col min="33" max="33" width="28.7109375" bestFit="1" customWidth="1"/>
    <col min="36" max="36" width="17.42578125" bestFit="1" customWidth="1"/>
    <col min="37" max="37" width="17.85546875" bestFit="1" customWidth="1"/>
  </cols>
  <sheetData>
    <row r="1" spans="2:37" ht="15" customHeight="1" thickBot="1" x14ac:dyDescent="0.3">
      <c r="E1" s="53" t="s">
        <v>71</v>
      </c>
      <c r="F1" s="54"/>
      <c r="L1" s="22"/>
      <c r="P1" s="53" t="s">
        <v>85</v>
      </c>
      <c r="Q1" s="54"/>
      <c r="W1" s="22"/>
      <c r="AA1" s="53" t="s">
        <v>78</v>
      </c>
      <c r="AB1" s="54"/>
    </row>
    <row r="2" spans="2:37" ht="15" customHeight="1" thickBot="1" x14ac:dyDescent="0.3">
      <c r="B2" s="47" t="s">
        <v>150</v>
      </c>
      <c r="C2" s="48">
        <f>SUM(B5:B50)</f>
        <v>60</v>
      </c>
      <c r="E2" s="55"/>
      <c r="F2" s="56"/>
      <c r="L2" s="22"/>
      <c r="M2" s="47" t="s">
        <v>150</v>
      </c>
      <c r="N2" s="48">
        <f>SUM(M5:M50)</f>
        <v>160</v>
      </c>
      <c r="P2" s="55"/>
      <c r="Q2" s="56"/>
      <c r="W2" s="22"/>
      <c r="X2" s="47" t="s">
        <v>150</v>
      </c>
      <c r="Y2" s="48">
        <f>SUM(X5:X50)</f>
        <v>258</v>
      </c>
      <c r="AA2" s="55"/>
      <c r="AB2" s="56"/>
    </row>
    <row r="3" spans="2:37" ht="15" customHeight="1" x14ac:dyDescent="0.25">
      <c r="L3" s="22"/>
      <c r="W3" s="22"/>
    </row>
    <row r="4" spans="2:37" ht="15.75" x14ac:dyDescent="0.25">
      <c r="B4" s="17" t="s">
        <v>129</v>
      </c>
      <c r="C4" s="17" t="s">
        <v>130</v>
      </c>
      <c r="D4" s="17" t="s">
        <v>128</v>
      </c>
      <c r="E4" s="17" t="s">
        <v>123</v>
      </c>
      <c r="F4" s="17" t="s">
        <v>124</v>
      </c>
      <c r="G4" s="17" t="s">
        <v>133</v>
      </c>
      <c r="H4" s="17" t="s">
        <v>131</v>
      </c>
      <c r="I4" s="17" t="s">
        <v>132</v>
      </c>
      <c r="J4" s="17" t="s">
        <v>104</v>
      </c>
      <c r="K4" s="17" t="s">
        <v>105</v>
      </c>
      <c r="L4" s="22"/>
      <c r="M4" s="17" t="s">
        <v>129</v>
      </c>
      <c r="N4" s="17" t="s">
        <v>130</v>
      </c>
      <c r="O4" s="17" t="s">
        <v>128</v>
      </c>
      <c r="P4" s="17" t="s">
        <v>123</v>
      </c>
      <c r="Q4" s="17" t="s">
        <v>124</v>
      </c>
      <c r="R4" s="17" t="s">
        <v>133</v>
      </c>
      <c r="S4" s="17" t="s">
        <v>131</v>
      </c>
      <c r="T4" s="17" t="s">
        <v>132</v>
      </c>
      <c r="U4" s="17" t="s">
        <v>104</v>
      </c>
      <c r="V4" s="17" t="s">
        <v>105</v>
      </c>
      <c r="W4" s="22"/>
      <c r="X4" s="17" t="s">
        <v>106</v>
      </c>
      <c r="Y4" s="17" t="s">
        <v>97</v>
      </c>
      <c r="Z4" s="17" t="s">
        <v>128</v>
      </c>
      <c r="AA4" s="17" t="s">
        <v>123</v>
      </c>
      <c r="AB4" s="17" t="s">
        <v>124</v>
      </c>
      <c r="AC4" s="17" t="s">
        <v>133</v>
      </c>
      <c r="AD4" s="17" t="s">
        <v>131</v>
      </c>
      <c r="AE4" s="17" t="s">
        <v>132</v>
      </c>
      <c r="AF4" s="17" t="s">
        <v>104</v>
      </c>
      <c r="AG4" s="17" t="s">
        <v>105</v>
      </c>
    </row>
    <row r="5" spans="2:37" ht="15.75" x14ac:dyDescent="0.25">
      <c r="B5" s="18">
        <f t="shared" ref="B5:B33" si="0">IF(C5="","",IF(D5&lt;&gt;"IN","-",MAX(0,MIN(G5,J5-$K$33))))</f>
        <v>0</v>
      </c>
      <c r="C5" s="19" t="s">
        <v>70</v>
      </c>
      <c r="D5" s="20" t="s">
        <v>98</v>
      </c>
      <c r="E5" s="20" t="s">
        <v>71</v>
      </c>
      <c r="F5" s="20" t="s">
        <v>125</v>
      </c>
      <c r="G5" s="20">
        <v>200</v>
      </c>
      <c r="H5" s="20"/>
      <c r="I5" s="20" t="str">
        <f>IF(D5="IN","-",IF(K5&gt;J5,"Stok Tidak Cukup / Cek Ulang",INDEX($C$5:C5,COUNTIF($J$5:J5,"&lt;"&amp;K5)+1)))</f>
        <v>-</v>
      </c>
      <c r="J5" s="18">
        <f>SUM($G$5:G5)</f>
        <v>200</v>
      </c>
      <c r="K5" s="18">
        <f>SUM($H$5:H5)</f>
        <v>0</v>
      </c>
      <c r="L5" s="22"/>
      <c r="M5" s="18">
        <f t="shared" ref="M5:M33" si="1">IF(N5="","",IF(O5&lt;&gt;"IN","-",MAX(0,MIN(R5,U5-$V$33))))</f>
        <v>0</v>
      </c>
      <c r="N5" s="19" t="s">
        <v>70</v>
      </c>
      <c r="O5" s="20" t="s">
        <v>98</v>
      </c>
      <c r="P5" s="20" t="s">
        <v>85</v>
      </c>
      <c r="Q5" s="20" t="s">
        <v>125</v>
      </c>
      <c r="R5" s="20">
        <v>70</v>
      </c>
      <c r="S5" s="20"/>
      <c r="T5" s="20" t="str">
        <f>IF(O5="IN","-",IF(V5&gt;U5,"Stok Tidak Cukup / Cek Ulang",INDEX($N$5:N5,COUNTIF($U$5:U5,"&lt;"&amp;V5)+1)))</f>
        <v>-</v>
      </c>
      <c r="U5" s="18">
        <f>SUM($R$5:R5)</f>
        <v>70</v>
      </c>
      <c r="V5" s="18">
        <f>SUM($S$5:S5)</f>
        <v>0</v>
      </c>
      <c r="W5" s="22"/>
      <c r="X5" s="18">
        <f>IF(Y5="","",IF(Z5&lt;&gt;"IN","-",MAX(0,MIN(AC5,AF5-$AG$33))))</f>
        <v>0</v>
      </c>
      <c r="Y5" s="19" t="s">
        <v>70</v>
      </c>
      <c r="Z5" s="20" t="s">
        <v>98</v>
      </c>
      <c r="AA5" s="20" t="s">
        <v>78</v>
      </c>
      <c r="AB5" s="20" t="s">
        <v>125</v>
      </c>
      <c r="AC5" s="20">
        <v>500</v>
      </c>
      <c r="AD5" s="20"/>
      <c r="AE5" s="20" t="str">
        <f>IF(Z5="IN","-",IF(AG5&gt;AF5,"Stok Tidak Cukup / Cek Ulang",INDEX($Y$5:Y5,COUNTIF($AF$5:AF5,"&lt;"&amp;AG5)+1)))</f>
        <v>-</v>
      </c>
      <c r="AF5" s="18">
        <f>SUM($AC$5:AC5)</f>
        <v>500</v>
      </c>
      <c r="AG5" s="18">
        <f>SUM($AD$5:AD5)</f>
        <v>0</v>
      </c>
    </row>
    <row r="6" spans="2:37" ht="15.75" x14ac:dyDescent="0.25">
      <c r="B6" s="18">
        <f t="shared" si="0"/>
        <v>0</v>
      </c>
      <c r="C6" s="20" t="s">
        <v>99</v>
      </c>
      <c r="D6" s="20" t="s">
        <v>98</v>
      </c>
      <c r="E6" s="20" t="s">
        <v>71</v>
      </c>
      <c r="F6" s="20" t="s">
        <v>125</v>
      </c>
      <c r="G6" s="20">
        <v>150</v>
      </c>
      <c r="H6" s="20"/>
      <c r="I6" s="20" t="str">
        <f>IF(D6="IN","-",IF(K6&gt;J6,"Stok Tidak Cukup / Cek Ulang",INDEX($C$5:C6,COUNTIF($J$5:J6,"&lt;"&amp;K6)+1)))</f>
        <v>-</v>
      </c>
      <c r="J6" s="18">
        <f>SUM($G$5:G6)</f>
        <v>350</v>
      </c>
      <c r="K6" s="18">
        <f>SUM($H$5:H6)</f>
        <v>0</v>
      </c>
      <c r="L6" s="22"/>
      <c r="M6" s="18">
        <f t="shared" si="1"/>
        <v>0</v>
      </c>
      <c r="N6" s="20" t="s">
        <v>99</v>
      </c>
      <c r="O6" s="20" t="s">
        <v>98</v>
      </c>
      <c r="P6" s="20" t="s">
        <v>85</v>
      </c>
      <c r="Q6" s="20" t="s">
        <v>127</v>
      </c>
      <c r="R6" s="20">
        <v>120</v>
      </c>
      <c r="S6" s="20"/>
      <c r="T6" s="20" t="str">
        <f>IF(O6="IN","-",IF(V6&gt;U6,"Stok Tidak Cukup / Cek Ulang",INDEX($N$5:N6,COUNTIF($U$5:U6,"&lt;"&amp;V6)+1)))</f>
        <v>-</v>
      </c>
      <c r="U6" s="18">
        <f>SUM($R$5:R6)</f>
        <v>190</v>
      </c>
      <c r="V6" s="18">
        <f>SUM($S$5:S6)</f>
        <v>0</v>
      </c>
      <c r="W6" s="22"/>
      <c r="X6" s="18">
        <f t="shared" ref="X6:X33" si="2">IF(Y6="","",IF(Z6&lt;&gt;"IN","-",MAX(0,MIN(AC6,AF6-$AG$33))))</f>
        <v>0</v>
      </c>
      <c r="Y6" s="20" t="s">
        <v>99</v>
      </c>
      <c r="Z6" s="20" t="s">
        <v>98</v>
      </c>
      <c r="AA6" s="20" t="s">
        <v>78</v>
      </c>
      <c r="AB6" s="20" t="s">
        <v>126</v>
      </c>
      <c r="AC6" s="20">
        <v>100</v>
      </c>
      <c r="AD6" s="20"/>
      <c r="AE6" s="20" t="str">
        <f>IF(Z6="IN","-",IF(AG6&gt;AF6,"Stok Tidak Cukup / Cek Ulang",INDEX($Y$5:Y6,COUNTIF($AF$5:AF6,"&lt;"&amp;AG6)+1)))</f>
        <v>-</v>
      </c>
      <c r="AF6" s="18">
        <f>SUM($AC$5:AC6)</f>
        <v>600</v>
      </c>
      <c r="AG6" s="18">
        <f>SUM($AD$5:AD6)</f>
        <v>0</v>
      </c>
    </row>
    <row r="7" spans="2:37" ht="15.75" x14ac:dyDescent="0.25">
      <c r="B7" s="18">
        <f t="shared" si="0"/>
        <v>0</v>
      </c>
      <c r="C7" s="20" t="s">
        <v>100</v>
      </c>
      <c r="D7" s="20" t="s">
        <v>98</v>
      </c>
      <c r="E7" s="20" t="s">
        <v>71</v>
      </c>
      <c r="F7" s="20" t="s">
        <v>126</v>
      </c>
      <c r="G7" s="20">
        <v>30</v>
      </c>
      <c r="H7" s="20"/>
      <c r="I7" s="20" t="str">
        <f>IF(D7="IN","-",IF(K7&gt;J7,"Stok Tidak Cukup / Cek Ulang",INDEX($C$5:C7,COUNTIF($J$5:J7,"&lt;"&amp;K7)+1)))</f>
        <v>-</v>
      </c>
      <c r="J7" s="18">
        <f>SUM($G$5:G7)</f>
        <v>380</v>
      </c>
      <c r="K7" s="18">
        <f>SUM($H$5:H7)</f>
        <v>0</v>
      </c>
      <c r="L7" s="22"/>
      <c r="M7" s="18">
        <f t="shared" si="1"/>
        <v>0</v>
      </c>
      <c r="N7" s="20" t="s">
        <v>100</v>
      </c>
      <c r="O7" s="20" t="s">
        <v>98</v>
      </c>
      <c r="P7" s="20" t="s">
        <v>85</v>
      </c>
      <c r="Q7" s="20" t="s">
        <v>126</v>
      </c>
      <c r="R7" s="20">
        <v>100</v>
      </c>
      <c r="S7" s="20"/>
      <c r="T7" s="20" t="str">
        <f>IF(O7="IN","-",IF(V7&gt;U7,"Stok Tidak Cukup / Cek Ulang",INDEX($N$5:N7,COUNTIF($U$5:U7,"&lt;"&amp;V7)+1)))</f>
        <v>-</v>
      </c>
      <c r="U7" s="18">
        <f>SUM($R$5:R7)</f>
        <v>290</v>
      </c>
      <c r="V7" s="18">
        <f>SUM($S$5:S7)</f>
        <v>0</v>
      </c>
      <c r="W7" s="22"/>
      <c r="X7" s="18">
        <f t="shared" si="2"/>
        <v>0</v>
      </c>
      <c r="Y7" s="20" t="s">
        <v>100</v>
      </c>
      <c r="Z7" s="20" t="s">
        <v>98</v>
      </c>
      <c r="AA7" s="20" t="s">
        <v>78</v>
      </c>
      <c r="AB7" s="20" t="s">
        <v>126</v>
      </c>
      <c r="AC7" s="20">
        <v>98</v>
      </c>
      <c r="AD7" s="20"/>
      <c r="AE7" s="20" t="str">
        <f>IF(Z7="IN","-",IF(AG7&gt;AF7,"Stok Tidak Cukup / Cek Ulang",INDEX($Y$5:Y7,COUNTIF($AF$5:AF7,"&lt;"&amp;AG7)+1)))</f>
        <v>-</v>
      </c>
      <c r="AF7" s="18">
        <f>SUM($AC$5:AC7)</f>
        <v>698</v>
      </c>
      <c r="AG7" s="18">
        <f>SUM($AD$5:AD7)</f>
        <v>0</v>
      </c>
    </row>
    <row r="8" spans="2:37" ht="15.75" x14ac:dyDescent="0.25">
      <c r="B8" s="18">
        <f t="shared" si="0"/>
        <v>0</v>
      </c>
      <c r="C8" s="20" t="s">
        <v>101</v>
      </c>
      <c r="D8" s="20" t="s">
        <v>98</v>
      </c>
      <c r="E8" s="20" t="s">
        <v>71</v>
      </c>
      <c r="F8" s="20" t="s">
        <v>127</v>
      </c>
      <c r="G8" s="20">
        <v>100</v>
      </c>
      <c r="H8" s="20"/>
      <c r="I8" s="20" t="str">
        <f>IF(D8="IN","-",IF(K8&gt;J8,"Stok Tidak Cukup / Cek Ulang",INDEX($C$5:C8,COUNTIF($J$5:J8,"&lt;"&amp;K8)+1)))</f>
        <v>-</v>
      </c>
      <c r="J8" s="18">
        <f>SUM($G$5:G8)</f>
        <v>480</v>
      </c>
      <c r="K8" s="18">
        <f>SUM($H$5:H8)</f>
        <v>0</v>
      </c>
      <c r="L8" s="22"/>
      <c r="M8" s="18">
        <f t="shared" si="1"/>
        <v>0</v>
      </c>
      <c r="N8" s="20" t="s">
        <v>101</v>
      </c>
      <c r="O8" s="20" t="s">
        <v>98</v>
      </c>
      <c r="P8" s="20" t="s">
        <v>85</v>
      </c>
      <c r="Q8" s="20" t="s">
        <v>126</v>
      </c>
      <c r="R8" s="20">
        <v>50</v>
      </c>
      <c r="S8" s="20"/>
      <c r="T8" s="20" t="str">
        <f>IF(O8="IN","-",IF(V8&gt;U8,"Stok Tidak Cukup / Cek Ulang",INDEX($N$5:N8,COUNTIF($U$5:U8,"&lt;"&amp;V8)+1)))</f>
        <v>-</v>
      </c>
      <c r="U8" s="18">
        <f>SUM($R$5:R8)</f>
        <v>340</v>
      </c>
      <c r="V8" s="18">
        <f>SUM($S$5:S8)</f>
        <v>0</v>
      </c>
      <c r="W8" s="22"/>
      <c r="X8" s="18">
        <f t="shared" si="2"/>
        <v>0</v>
      </c>
      <c r="Y8" s="20" t="s">
        <v>101</v>
      </c>
      <c r="Z8" s="20" t="s">
        <v>98</v>
      </c>
      <c r="AA8" s="20" t="s">
        <v>78</v>
      </c>
      <c r="AB8" s="20" t="s">
        <v>126</v>
      </c>
      <c r="AC8" s="20">
        <v>100</v>
      </c>
      <c r="AD8" s="20"/>
      <c r="AE8" s="20" t="str">
        <f>IF(Z8="IN","-",IF(AG8&gt;AF8,"Stok Tidak Cukup / Cek Ulang",INDEX($Y$5:Y8,COUNTIF($AF$5:AF8,"&lt;"&amp;AG8)+1)))</f>
        <v>-</v>
      </c>
      <c r="AF8" s="18">
        <f>SUM($AC$5:AC8)</f>
        <v>798</v>
      </c>
      <c r="AG8" s="18">
        <f>SUM($AD$5:AD8)</f>
        <v>0</v>
      </c>
    </row>
    <row r="9" spans="2:37" ht="15.75" x14ac:dyDescent="0.25">
      <c r="B9" s="18">
        <f t="shared" si="0"/>
        <v>0</v>
      </c>
      <c r="C9" s="20" t="s">
        <v>102</v>
      </c>
      <c r="D9" s="20" t="s">
        <v>98</v>
      </c>
      <c r="E9" s="20" t="s">
        <v>71</v>
      </c>
      <c r="F9" s="20" t="s">
        <v>127</v>
      </c>
      <c r="G9" s="20">
        <v>230</v>
      </c>
      <c r="H9" s="20"/>
      <c r="I9" s="20" t="str">
        <f>IF(D9="IN","-",IF(K9&gt;J9,"Stok Tidak Cukup / Cek Ulang",INDEX($C$5:C9,COUNTIF($J$5:J9,"&lt;"&amp;K9)+1)))</f>
        <v>-</v>
      </c>
      <c r="J9" s="18">
        <f>SUM($G$5:G9)</f>
        <v>710</v>
      </c>
      <c r="K9" s="18">
        <f>SUM($H$5:H9)</f>
        <v>0</v>
      </c>
      <c r="L9" s="22"/>
      <c r="M9" s="18">
        <f t="shared" si="1"/>
        <v>0</v>
      </c>
      <c r="N9" s="20" t="s">
        <v>102</v>
      </c>
      <c r="O9" s="20" t="s">
        <v>98</v>
      </c>
      <c r="P9" s="20" t="s">
        <v>85</v>
      </c>
      <c r="Q9" s="20" t="s">
        <v>126</v>
      </c>
      <c r="R9" s="20">
        <v>300</v>
      </c>
      <c r="S9" s="20"/>
      <c r="T9" s="20" t="str">
        <f>IF(O9="IN","-",IF(V9&gt;U9,"Stok Tidak Cukup / Cek Ulang",INDEX($N$5:N9,COUNTIF($U$5:U9,"&lt;"&amp;V9)+1)))</f>
        <v>-</v>
      </c>
      <c r="U9" s="18">
        <f>SUM($R$5:R9)</f>
        <v>640</v>
      </c>
      <c r="V9" s="18">
        <f>SUM($S$5:S9)</f>
        <v>0</v>
      </c>
      <c r="W9" s="22"/>
      <c r="X9" s="18">
        <f t="shared" si="2"/>
        <v>8</v>
      </c>
      <c r="Y9" s="20" t="s">
        <v>102</v>
      </c>
      <c r="Z9" s="20" t="s">
        <v>98</v>
      </c>
      <c r="AA9" s="20" t="s">
        <v>78</v>
      </c>
      <c r="AB9" s="20" t="s">
        <v>126</v>
      </c>
      <c r="AC9" s="20">
        <v>250</v>
      </c>
      <c r="AD9" s="20"/>
      <c r="AE9" s="20" t="str">
        <f>IF(Z9="IN","-",IF(AG9&gt;AF9,"Stok Tidak Cukup / Cek Ulang",INDEX($Y$5:Y9,COUNTIF($AF$5:AF9,"&lt;"&amp;AG9)+1)))</f>
        <v>-</v>
      </c>
      <c r="AF9" s="18">
        <f>SUM($AC$5:AC9)</f>
        <v>1048</v>
      </c>
      <c r="AG9" s="18">
        <f>SUM($AD$5:AD9)</f>
        <v>0</v>
      </c>
    </row>
    <row r="10" spans="2:37" ht="15.75" x14ac:dyDescent="0.25">
      <c r="B10" s="18" t="str">
        <f t="shared" si="0"/>
        <v>-</v>
      </c>
      <c r="C10" s="20" t="s">
        <v>107</v>
      </c>
      <c r="D10" s="20" t="s">
        <v>103</v>
      </c>
      <c r="E10" s="20" t="s">
        <v>71</v>
      </c>
      <c r="F10" s="20" t="s">
        <v>53</v>
      </c>
      <c r="G10" s="20"/>
      <c r="H10" s="20">
        <v>160</v>
      </c>
      <c r="I10" s="19" t="str">
        <f>IF(C10="","",IF(D10="IN","-",IF(K10&gt;J10,"Stok Tidak Cukup / Cek Ulang",INDEX($C$5:C10,COUNTIF($J$5:J10,"&lt;"&amp;K10)+1))))</f>
        <v>1 Juni 2026</v>
      </c>
      <c r="J10" s="18">
        <f>SUM($G$5:G10)</f>
        <v>710</v>
      </c>
      <c r="K10" s="18">
        <f>SUM($H$5:H10)</f>
        <v>160</v>
      </c>
      <c r="L10" s="22"/>
      <c r="M10" s="18" t="str">
        <f t="shared" si="1"/>
        <v>-</v>
      </c>
      <c r="N10" s="20" t="s">
        <v>107</v>
      </c>
      <c r="O10" s="20" t="s">
        <v>103</v>
      </c>
      <c r="P10" s="20" t="s">
        <v>85</v>
      </c>
      <c r="Q10" s="20" t="s">
        <v>53</v>
      </c>
      <c r="R10" s="20"/>
      <c r="S10" s="20">
        <v>50</v>
      </c>
      <c r="T10" s="19" t="str">
        <f>IF(N10="","",IF(O10="IN","-",IF(V10&gt;U10,"Stok Tidak Cukup / Cek Ulang",INDEX($N$5:N10,COUNTIF($U$5:U10,"&lt;"&amp;V10)+1))))</f>
        <v>1 Juni 2026</v>
      </c>
      <c r="U10" s="18">
        <f>SUM($R$5:R10)</f>
        <v>640</v>
      </c>
      <c r="V10" s="18">
        <f>SUM($S$5:S10)</f>
        <v>50</v>
      </c>
      <c r="W10" s="22"/>
      <c r="X10" s="18" t="str">
        <f t="shared" si="2"/>
        <v>-</v>
      </c>
      <c r="Y10" s="20" t="s">
        <v>107</v>
      </c>
      <c r="Z10" s="20" t="s">
        <v>103</v>
      </c>
      <c r="AA10" s="20" t="s">
        <v>78</v>
      </c>
      <c r="AB10" s="20" t="s">
        <v>53</v>
      </c>
      <c r="AC10" s="20"/>
      <c r="AD10" s="20">
        <v>50</v>
      </c>
      <c r="AE10" s="19" t="str">
        <f>IF(Y10="","",IF(Z10="IN","-",IF(AG10&gt;AF10,"Stok Tidak Cukup / Cek Ulang",INDEX($Y$5:Y10,COUNTIF($AF$5:AF10,"&lt;"&amp;AG10)+1))))</f>
        <v>1 Juni 2026</v>
      </c>
      <c r="AF10" s="18">
        <f>SUM($AC$5:AC10)</f>
        <v>1048</v>
      </c>
      <c r="AG10" s="18">
        <f>SUM($AD$5:AD10)</f>
        <v>50</v>
      </c>
      <c r="AI10" s="23" t="s">
        <v>122</v>
      </c>
      <c r="AJ10" s="23" t="s">
        <v>123</v>
      </c>
      <c r="AK10" s="23" t="s">
        <v>124</v>
      </c>
    </row>
    <row r="11" spans="2:37" ht="15.75" x14ac:dyDescent="0.25">
      <c r="B11" s="18">
        <f t="shared" si="0"/>
        <v>0</v>
      </c>
      <c r="C11" s="20" t="s">
        <v>108</v>
      </c>
      <c r="D11" s="20" t="s">
        <v>98</v>
      </c>
      <c r="E11" s="20" t="s">
        <v>71</v>
      </c>
      <c r="F11" s="20" t="s">
        <v>126</v>
      </c>
      <c r="G11" s="20">
        <v>100</v>
      </c>
      <c r="H11" s="20"/>
      <c r="I11" s="20" t="str">
        <f>IF(C11="","",IF(D11="IN","-",IF(K11&gt;J11,"Stok Tidak Cukup / Cek Ulang",INDEX($C$5:C11,COUNTIF($J$5:J11,"&lt;"&amp;K11)+1))))</f>
        <v>-</v>
      </c>
      <c r="J11" s="18">
        <f>SUM($G$5:G11)</f>
        <v>810</v>
      </c>
      <c r="K11" s="18">
        <f>SUM($H$5:H11)</f>
        <v>160</v>
      </c>
      <c r="L11" s="22"/>
      <c r="M11" s="18">
        <f t="shared" si="1"/>
        <v>50</v>
      </c>
      <c r="N11" s="20" t="s">
        <v>108</v>
      </c>
      <c r="O11" s="20" t="s">
        <v>98</v>
      </c>
      <c r="P11" s="20" t="s">
        <v>85</v>
      </c>
      <c r="Q11" s="20" t="s">
        <v>125</v>
      </c>
      <c r="R11" s="20">
        <v>150</v>
      </c>
      <c r="S11" s="20"/>
      <c r="T11" s="20" t="str">
        <f>IF(N11="","",IF(O11="IN","-",IF(V11&gt;U11,"Stok Tidak Cukup / Cek Ulang",INDEX($N$5:N11,COUNTIF($U$5:U11,"&lt;"&amp;V11)+1))))</f>
        <v>-</v>
      </c>
      <c r="U11" s="18">
        <f>SUM($R$5:R11)</f>
        <v>790</v>
      </c>
      <c r="V11" s="18">
        <f>SUM($S$5:S11)</f>
        <v>50</v>
      </c>
      <c r="W11" s="22"/>
      <c r="X11" s="18">
        <f t="shared" si="2"/>
        <v>100</v>
      </c>
      <c r="Y11" s="20" t="s">
        <v>108</v>
      </c>
      <c r="Z11" s="20" t="s">
        <v>98</v>
      </c>
      <c r="AA11" s="20" t="s">
        <v>78</v>
      </c>
      <c r="AB11" s="20" t="s">
        <v>126</v>
      </c>
      <c r="AC11" s="20">
        <v>100</v>
      </c>
      <c r="AD11" s="20"/>
      <c r="AE11" s="20" t="str">
        <f>IF(Y11="","",IF(Z11="IN","-",IF(AG11&gt;AF11,"Stok Tidak Cukup / Cek Ulang",INDEX($Y$5:Y11,COUNTIF($AF$5:AF11,"&lt;"&amp;AG11)+1))))</f>
        <v>-</v>
      </c>
      <c r="AF11" s="18">
        <f>SUM($AC$5:AC11)</f>
        <v>1148</v>
      </c>
      <c r="AG11" s="18">
        <f>SUM($AD$5:AD11)</f>
        <v>50</v>
      </c>
      <c r="AI11" s="23" t="s">
        <v>98</v>
      </c>
      <c r="AJ11" s="23" t="s">
        <v>71</v>
      </c>
      <c r="AK11" s="23" t="s">
        <v>125</v>
      </c>
    </row>
    <row r="12" spans="2:37" ht="15.75" x14ac:dyDescent="0.25">
      <c r="B12" s="18" t="str">
        <f t="shared" si="0"/>
        <v>-</v>
      </c>
      <c r="C12" s="20" t="s">
        <v>109</v>
      </c>
      <c r="D12" s="20" t="s">
        <v>103</v>
      </c>
      <c r="E12" s="20" t="s">
        <v>71</v>
      </c>
      <c r="F12" s="20" t="s">
        <v>53</v>
      </c>
      <c r="G12" s="20"/>
      <c r="H12" s="20">
        <v>200</v>
      </c>
      <c r="I12" s="20" t="str">
        <f>IF(C12="","",IF(D12="IN","-",IF(K12&gt;J12,"Stok Tidak Cukup / Cek Ulang",INDEX($C$5:C12,COUNTIF($J$5:J12,"&lt;"&amp;K12)+1))))</f>
        <v>3 Juni 2026</v>
      </c>
      <c r="J12" s="18">
        <f>SUM($G$5:G12)</f>
        <v>810</v>
      </c>
      <c r="K12" s="18">
        <f>SUM($H$5:H12)</f>
        <v>360</v>
      </c>
      <c r="L12" s="22"/>
      <c r="M12" s="18" t="str">
        <f t="shared" si="1"/>
        <v>-</v>
      </c>
      <c r="N12" s="20" t="s">
        <v>109</v>
      </c>
      <c r="O12" s="20" t="s">
        <v>103</v>
      </c>
      <c r="P12" s="20" t="s">
        <v>85</v>
      </c>
      <c r="Q12" s="20" t="s">
        <v>53</v>
      </c>
      <c r="R12" s="20"/>
      <c r="S12" s="20">
        <v>120</v>
      </c>
      <c r="T12" s="20" t="str">
        <f>IF(N12="","",IF(O12="IN","-",IF(V12&gt;U12,"Stok Tidak Cukup / Cek Ulang",INDEX($N$5:N12,COUNTIF($U$5:U12,"&lt;"&amp;V12)+1))))</f>
        <v>2 Juni 2026</v>
      </c>
      <c r="U12" s="18">
        <f>SUM($R$5:R12)</f>
        <v>790</v>
      </c>
      <c r="V12" s="18">
        <f>SUM($S$5:S12)</f>
        <v>170</v>
      </c>
      <c r="W12" s="22"/>
      <c r="X12" s="18" t="str">
        <f t="shared" si="2"/>
        <v>-</v>
      </c>
      <c r="Y12" s="20" t="s">
        <v>109</v>
      </c>
      <c r="Z12" s="20" t="s">
        <v>103</v>
      </c>
      <c r="AA12" s="20" t="s">
        <v>78</v>
      </c>
      <c r="AB12" s="20" t="s">
        <v>53</v>
      </c>
      <c r="AC12" s="20"/>
      <c r="AD12" s="20">
        <v>120</v>
      </c>
      <c r="AE12" s="20" t="str">
        <f>IF(Y12="","",IF(Z12="IN","-",IF(AG12&gt;AF12,"Stok Tidak Cukup / Cek Ulang",INDEX($Y$5:Y12,COUNTIF($AF$5:AF12,"&lt;"&amp;AG12)+1))))</f>
        <v>1 Juni 2026</v>
      </c>
      <c r="AF12" s="18">
        <f>SUM($AC$5:AC12)</f>
        <v>1148</v>
      </c>
      <c r="AG12" s="18">
        <f>SUM($AD$5:AD12)</f>
        <v>170</v>
      </c>
      <c r="AI12" s="23" t="s">
        <v>103</v>
      </c>
      <c r="AJ12" s="23" t="s">
        <v>78</v>
      </c>
      <c r="AK12" s="23" t="s">
        <v>126</v>
      </c>
    </row>
    <row r="13" spans="2:37" ht="15.75" x14ac:dyDescent="0.25">
      <c r="B13" s="18" t="str">
        <f t="shared" si="0"/>
        <v>-</v>
      </c>
      <c r="C13" s="20" t="s">
        <v>110</v>
      </c>
      <c r="D13" s="20" t="s">
        <v>103</v>
      </c>
      <c r="E13" s="20" t="s">
        <v>71</v>
      </c>
      <c r="F13" s="20" t="s">
        <v>53</v>
      </c>
      <c r="G13" s="20"/>
      <c r="H13" s="20">
        <v>120</v>
      </c>
      <c r="I13" s="20" t="str">
        <f>IF(C13="","",IF(D13="IN","-",IF(K13&gt;J13,"Stok Tidak Cukup / Cek Ulang",INDEX($C$5:C13,COUNTIF($J$5:J13,"&lt;"&amp;K13)+1))))</f>
        <v>4 Juni 2026</v>
      </c>
      <c r="J13" s="18">
        <f>SUM($G$5:G13)</f>
        <v>810</v>
      </c>
      <c r="K13" s="18">
        <f>SUM($H$5:H13)</f>
        <v>480</v>
      </c>
      <c r="L13" s="22"/>
      <c r="M13" s="18" t="str">
        <f t="shared" si="1"/>
        <v>-</v>
      </c>
      <c r="N13" s="20" t="s">
        <v>110</v>
      </c>
      <c r="O13" s="20" t="s">
        <v>103</v>
      </c>
      <c r="P13" s="20" t="s">
        <v>85</v>
      </c>
      <c r="Q13" s="20" t="s">
        <v>53</v>
      </c>
      <c r="R13" s="20"/>
      <c r="S13" s="20">
        <v>20</v>
      </c>
      <c r="T13" s="20" t="str">
        <f>IF(N13="","",IF(O13="IN","-",IF(V13&gt;U13,"Stok Tidak Cukup / Cek Ulang",INDEX($N$5:N13,COUNTIF($U$5:U13,"&lt;"&amp;V13)+1))))</f>
        <v>2 Juni 2026</v>
      </c>
      <c r="U13" s="18">
        <f>SUM($R$5:R13)</f>
        <v>790</v>
      </c>
      <c r="V13" s="18">
        <f>SUM($S$5:S13)</f>
        <v>190</v>
      </c>
      <c r="W13" s="22"/>
      <c r="X13" s="18" t="str">
        <f t="shared" si="2"/>
        <v>-</v>
      </c>
      <c r="Y13" s="20" t="s">
        <v>110</v>
      </c>
      <c r="Z13" s="20" t="s">
        <v>103</v>
      </c>
      <c r="AA13" s="20" t="s">
        <v>78</v>
      </c>
      <c r="AB13" s="20" t="s">
        <v>53</v>
      </c>
      <c r="AC13" s="20"/>
      <c r="AD13" s="20">
        <v>20</v>
      </c>
      <c r="AE13" s="20" t="str">
        <f>IF(Y13="","",IF(Z13="IN","-",IF(AG13&gt;AF13,"Stok Tidak Cukup / Cek Ulang",INDEX($Y$5:Y13,COUNTIF($AF$5:AF13,"&lt;"&amp;AG13)+1))))</f>
        <v>1 Juni 2026</v>
      </c>
      <c r="AF13" s="18">
        <f>SUM($AC$5:AC13)</f>
        <v>1148</v>
      </c>
      <c r="AG13" s="18">
        <f>SUM($AD$5:AD13)</f>
        <v>190</v>
      </c>
      <c r="AI13" s="23"/>
      <c r="AJ13" s="23" t="s">
        <v>85</v>
      </c>
      <c r="AK13" s="23" t="s">
        <v>127</v>
      </c>
    </row>
    <row r="14" spans="2:37" ht="15.75" x14ac:dyDescent="0.25">
      <c r="B14" s="18" t="str">
        <f t="shared" si="0"/>
        <v>-</v>
      </c>
      <c r="C14" s="20" t="s">
        <v>111</v>
      </c>
      <c r="D14" s="20" t="s">
        <v>103</v>
      </c>
      <c r="E14" s="20" t="s">
        <v>71</v>
      </c>
      <c r="F14" s="20" t="s">
        <v>53</v>
      </c>
      <c r="G14" s="20"/>
      <c r="H14" s="20">
        <v>230</v>
      </c>
      <c r="I14" s="20" t="str">
        <f>IF(C14="","",IF(D14="IN","-",IF(K14&gt;J14,"Stok Tidak Cukup / Cek Ulang",INDEX($C$5:C14,COUNTIF($J$5:J14,"&lt;"&amp;K14)+1))))</f>
        <v>5 Juni 2026</v>
      </c>
      <c r="J14" s="18">
        <f>SUM($G$5:G14)</f>
        <v>810</v>
      </c>
      <c r="K14" s="18">
        <f>SUM($H$5:H14)</f>
        <v>710</v>
      </c>
      <c r="L14" s="22"/>
      <c r="M14" s="18" t="str">
        <f t="shared" si="1"/>
        <v>-</v>
      </c>
      <c r="N14" s="20" t="s">
        <v>111</v>
      </c>
      <c r="O14" s="20" t="s">
        <v>103</v>
      </c>
      <c r="P14" s="20" t="s">
        <v>85</v>
      </c>
      <c r="Q14" s="20" t="s">
        <v>53</v>
      </c>
      <c r="R14" s="20"/>
      <c r="S14" s="20">
        <v>300</v>
      </c>
      <c r="T14" s="20" t="str">
        <f>IF(N14="","",IF(O14="IN","-",IF(V14&gt;U14,"Stok Tidak Cukup / Cek Ulang",INDEX($N$5:N14,COUNTIF($U$5:U14,"&lt;"&amp;V14)+1))))</f>
        <v>5 Juni 2026</v>
      </c>
      <c r="U14" s="18">
        <f>SUM($R$5:R14)</f>
        <v>790</v>
      </c>
      <c r="V14" s="18">
        <f>SUM($S$5:S14)</f>
        <v>490</v>
      </c>
      <c r="W14" s="22"/>
      <c r="X14" s="18" t="str">
        <f t="shared" si="2"/>
        <v>-</v>
      </c>
      <c r="Y14" s="20" t="s">
        <v>111</v>
      </c>
      <c r="Z14" s="20" t="s">
        <v>103</v>
      </c>
      <c r="AA14" s="20" t="s">
        <v>78</v>
      </c>
      <c r="AB14" s="20" t="s">
        <v>53</v>
      </c>
      <c r="AC14" s="20"/>
      <c r="AD14" s="20">
        <v>300</v>
      </c>
      <c r="AE14" s="20" t="str">
        <f>IF(Y14="","",IF(Z14="IN","-",IF(AG14&gt;AF14,"Stok Tidak Cukup / Cek Ulang",INDEX($Y$5:Y14,COUNTIF($AF$5:AF14,"&lt;"&amp;AG14)+1))))</f>
        <v>1 Juni 2026</v>
      </c>
      <c r="AF14" s="18">
        <f>SUM($AC$5:AC14)</f>
        <v>1148</v>
      </c>
      <c r="AG14" s="18">
        <f>SUM($AD$5:AD14)</f>
        <v>490</v>
      </c>
      <c r="AI14" s="24"/>
      <c r="AJ14" s="24"/>
      <c r="AK14" s="23" t="s">
        <v>53</v>
      </c>
    </row>
    <row r="15" spans="2:37" ht="15.75" x14ac:dyDescent="0.25">
      <c r="B15" s="18">
        <f t="shared" si="0"/>
        <v>60</v>
      </c>
      <c r="C15" s="20" t="s">
        <v>112</v>
      </c>
      <c r="D15" s="20" t="s">
        <v>98</v>
      </c>
      <c r="E15" s="20" t="s">
        <v>71</v>
      </c>
      <c r="F15" s="20" t="s">
        <v>127</v>
      </c>
      <c r="G15" s="20">
        <v>150</v>
      </c>
      <c r="H15" s="20"/>
      <c r="I15" s="20" t="str">
        <f>IF(C15="","",IF(D15="IN","-",IF(K15&gt;J15,"Stok Tidak Cukup / Cek Ulang",INDEX($C$5:C15,COUNTIF($J$5:J15,"&lt;"&amp;K15)+1))))</f>
        <v>-</v>
      </c>
      <c r="J15" s="18">
        <f>SUM($G$5:G15)</f>
        <v>960</v>
      </c>
      <c r="K15" s="18">
        <f>SUM($H$5:H15)</f>
        <v>710</v>
      </c>
      <c r="L15" s="22"/>
      <c r="M15" s="18">
        <f t="shared" si="1"/>
        <v>110</v>
      </c>
      <c r="N15" s="20" t="s">
        <v>112</v>
      </c>
      <c r="O15" s="20" t="s">
        <v>98</v>
      </c>
      <c r="P15" s="20" t="s">
        <v>85</v>
      </c>
      <c r="Q15" s="20" t="s">
        <v>127</v>
      </c>
      <c r="R15" s="20">
        <v>110</v>
      </c>
      <c r="S15" s="20"/>
      <c r="T15" s="20" t="str">
        <f>IF(N15="","",IF(O15="IN","-",IF(V15&gt;U15,"Stok Tidak Cukup / Cek Ulang",INDEX($N$5:N15,COUNTIF($U$5:U15,"&lt;"&amp;V15)+1))))</f>
        <v>-</v>
      </c>
      <c r="U15" s="18">
        <f>SUM($R$5:R15)</f>
        <v>900</v>
      </c>
      <c r="V15" s="18">
        <f>SUM($S$5:S15)</f>
        <v>490</v>
      </c>
      <c r="W15" s="22"/>
      <c r="X15" s="18">
        <f t="shared" si="2"/>
        <v>150</v>
      </c>
      <c r="Y15" s="20" t="s">
        <v>112</v>
      </c>
      <c r="Z15" s="20" t="s">
        <v>98</v>
      </c>
      <c r="AA15" s="20" t="s">
        <v>78</v>
      </c>
      <c r="AB15" s="20" t="s">
        <v>127</v>
      </c>
      <c r="AC15" s="20">
        <v>150</v>
      </c>
      <c r="AD15" s="20"/>
      <c r="AE15" s="20" t="str">
        <f>IF(Y15="","",IF(Z15="IN","-",IF(AG15&gt;AF15,"Stok Tidak Cukup / Cek Ulang",INDEX($Y$5:Y15,COUNTIF($AF$5:AF15,"&lt;"&amp;AG15)+1))))</f>
        <v>-</v>
      </c>
      <c r="AF15" s="18">
        <f>SUM($AC$5:AC15)</f>
        <v>1298</v>
      </c>
      <c r="AG15" s="18">
        <f>SUM($AD$5:AD15)</f>
        <v>490</v>
      </c>
    </row>
    <row r="16" spans="2:37" ht="15.75" x14ac:dyDescent="0.25">
      <c r="B16" s="18" t="str">
        <f t="shared" si="0"/>
        <v>-</v>
      </c>
      <c r="C16" s="20" t="s">
        <v>113</v>
      </c>
      <c r="D16" s="20" t="s">
        <v>103</v>
      </c>
      <c r="E16" s="20" t="s">
        <v>71</v>
      </c>
      <c r="F16" s="20" t="s">
        <v>53</v>
      </c>
      <c r="G16" s="20"/>
      <c r="H16" s="20">
        <v>120</v>
      </c>
      <c r="I16" s="20" t="str">
        <f>IF(C16="","",IF(D16="IN","-",IF(K16&gt;J16,"Stok Tidak Cukup / Cek Ulang",INDEX($C$5:C16,COUNTIF($J$5:J16,"&lt;"&amp;K16)+1))))</f>
        <v>11 JUNI 2026</v>
      </c>
      <c r="J16" s="18">
        <f>SUM($G$5:G16)</f>
        <v>960</v>
      </c>
      <c r="K16" s="18">
        <f>SUM($H$5:H16)</f>
        <v>830</v>
      </c>
      <c r="L16" s="22"/>
      <c r="M16" s="18" t="str">
        <f t="shared" si="1"/>
        <v>-</v>
      </c>
      <c r="N16" s="20" t="s">
        <v>113</v>
      </c>
      <c r="O16" s="20" t="s">
        <v>103</v>
      </c>
      <c r="P16" s="20" t="s">
        <v>85</v>
      </c>
      <c r="Q16" s="20" t="s">
        <v>53</v>
      </c>
      <c r="R16" s="20"/>
      <c r="S16" s="20">
        <v>150</v>
      </c>
      <c r="T16" s="20" t="str">
        <f>IF(N16="","",IF(O16="IN","-",IF(V16&gt;U16,"Stok Tidak Cukup / Cek Ulang",INDEX($N$5:N16,COUNTIF($U$5:U16,"&lt;"&amp;V16)+1))))</f>
        <v>5 Juni 2026</v>
      </c>
      <c r="U16" s="18">
        <f>SUM($R$5:R16)</f>
        <v>900</v>
      </c>
      <c r="V16" s="18">
        <f>SUM($S$5:S16)</f>
        <v>640</v>
      </c>
      <c r="W16" s="22"/>
      <c r="X16" s="18" t="str">
        <f t="shared" si="2"/>
        <v>-</v>
      </c>
      <c r="Y16" s="20" t="s">
        <v>113</v>
      </c>
      <c r="Z16" s="20" t="s">
        <v>103</v>
      </c>
      <c r="AA16" s="20" t="s">
        <v>78</v>
      </c>
      <c r="AB16" s="20" t="s">
        <v>53</v>
      </c>
      <c r="AC16" s="20"/>
      <c r="AD16" s="20">
        <v>150</v>
      </c>
      <c r="AE16" s="20" t="str">
        <f>IF(Y16="","",IF(Z16="IN","-",IF(AG16&gt;AF16,"Stok Tidak Cukup / Cek Ulang",INDEX($Y$5:Y16,COUNTIF($AF$5:AF16,"&lt;"&amp;AG16)+1))))</f>
        <v>3 Juni 2026</v>
      </c>
      <c r="AF16" s="18">
        <f>SUM($AC$5:AC16)</f>
        <v>1298</v>
      </c>
      <c r="AG16" s="18">
        <f>SUM($AD$5:AD16)</f>
        <v>640</v>
      </c>
    </row>
    <row r="17" spans="2:33" ht="15.75" x14ac:dyDescent="0.25">
      <c r="B17" s="18" t="str">
        <f t="shared" si="0"/>
        <v>-</v>
      </c>
      <c r="C17" s="20" t="s">
        <v>114</v>
      </c>
      <c r="D17" s="20" t="s">
        <v>103</v>
      </c>
      <c r="E17" s="20" t="s">
        <v>71</v>
      </c>
      <c r="F17" s="20" t="s">
        <v>53</v>
      </c>
      <c r="G17" s="20"/>
      <c r="H17" s="20">
        <v>70</v>
      </c>
      <c r="I17" s="20" t="str">
        <f>IF(C17="","",IF(D17="IN","-",IF(K17&gt;J17,"Stok Tidak Cukup / Cek Ulang",INDEX($C$5:C17,COUNTIF($J$5:J17,"&lt;"&amp;K17)+1))))</f>
        <v>11 JUNI 2026</v>
      </c>
      <c r="J17" s="18">
        <f>SUM($G$5:G17)</f>
        <v>960</v>
      </c>
      <c r="K17" s="18">
        <f>SUM($H$5:H17)</f>
        <v>900</v>
      </c>
      <c r="L17" s="22"/>
      <c r="M17" s="18" t="str">
        <f t="shared" si="1"/>
        <v>-</v>
      </c>
      <c r="N17" s="20" t="s">
        <v>114</v>
      </c>
      <c r="O17" s="20" t="s">
        <v>103</v>
      </c>
      <c r="P17" s="20" t="s">
        <v>85</v>
      </c>
      <c r="Q17" s="20" t="s">
        <v>53</v>
      </c>
      <c r="R17" s="20"/>
      <c r="S17" s="20">
        <v>100</v>
      </c>
      <c r="T17" s="20" t="str">
        <f>IF(N17="","",IF(O17="IN","-",IF(V17&gt;U17,"Stok Tidak Cukup / Cek Ulang",INDEX($N$5:N17,COUNTIF($U$5:U17,"&lt;"&amp;V17)+1))))</f>
        <v>7 Juni 2026</v>
      </c>
      <c r="U17" s="18">
        <f>SUM($R$5:R17)</f>
        <v>900</v>
      </c>
      <c r="V17" s="18">
        <f>SUM($S$5:S17)</f>
        <v>740</v>
      </c>
      <c r="W17" s="22"/>
      <c r="X17" s="18" t="str">
        <f t="shared" si="2"/>
        <v>-</v>
      </c>
      <c r="Y17" s="20" t="s">
        <v>114</v>
      </c>
      <c r="Z17" s="20" t="s">
        <v>103</v>
      </c>
      <c r="AA17" s="20" t="s">
        <v>78</v>
      </c>
      <c r="AB17" s="20" t="s">
        <v>53</v>
      </c>
      <c r="AC17" s="20"/>
      <c r="AD17" s="20">
        <v>400</v>
      </c>
      <c r="AE17" s="20" t="str">
        <f>IF(Y17="","",IF(Z17="IN","-",IF(AG17&gt;AF17,"Stok Tidak Cukup / Cek Ulang",INDEX($Y$5:Y17,COUNTIF($AF$5:AF17,"&lt;"&amp;AG17)+1))))</f>
        <v>5 Juni 2026</v>
      </c>
      <c r="AF17" s="18">
        <f>SUM($AC$5:AC17)</f>
        <v>1298</v>
      </c>
      <c r="AG17" s="18">
        <f>SUM($AD$5:AD17)</f>
        <v>1040</v>
      </c>
    </row>
    <row r="18" spans="2:33" ht="15.75" x14ac:dyDescent="0.25">
      <c r="B18" s="18" t="str">
        <f t="shared" si="0"/>
        <v/>
      </c>
      <c r="C18" s="20"/>
      <c r="D18" s="20"/>
      <c r="E18" s="20"/>
      <c r="F18" s="20"/>
      <c r="G18" s="20"/>
      <c r="H18" s="20"/>
      <c r="I18" s="20" t="str">
        <f>IF(C18="","",IF(D18="IN","-",IF(K18&gt;J18,"Stok Tidak Cukup / Cek Ulang",INDEX($C$5:C18,COUNTIF($J$5:J18,"&lt;"&amp;K18)+1))))</f>
        <v/>
      </c>
      <c r="J18" s="18">
        <f>SUM($G$5:G18)</f>
        <v>960</v>
      </c>
      <c r="K18" s="18">
        <f>SUM($H$5:H18)</f>
        <v>900</v>
      </c>
      <c r="L18" s="22"/>
      <c r="M18" s="18" t="str">
        <f t="shared" si="1"/>
        <v/>
      </c>
      <c r="N18" s="20"/>
      <c r="O18" s="20"/>
      <c r="P18" s="20"/>
      <c r="Q18" s="20"/>
      <c r="R18" s="20"/>
      <c r="S18" s="20"/>
      <c r="T18" s="20" t="str">
        <f>IF(N18="","",IF(O18="IN","-",IF(V18&gt;U18,"Stok Tidak Cukup / Cek Ulang",INDEX($N$5:N18,COUNTIF($U$5:U18,"&lt;"&amp;V18)+1))))</f>
        <v/>
      </c>
      <c r="U18" s="18">
        <f>SUM($R$5:R18)</f>
        <v>900</v>
      </c>
      <c r="V18" s="18">
        <f>SUM($S$5:S18)</f>
        <v>740</v>
      </c>
      <c r="W18" s="22"/>
      <c r="X18" s="18" t="str">
        <f t="shared" si="2"/>
        <v/>
      </c>
      <c r="Y18" s="20"/>
      <c r="Z18" s="20"/>
      <c r="AA18" s="20"/>
      <c r="AB18" s="20"/>
      <c r="AC18" s="20"/>
      <c r="AD18" s="20"/>
      <c r="AE18" s="20" t="str">
        <f>IF(Y18="","",IF(Z18="IN","-",IF(AG18&gt;AF18,"Stok Tidak Cukup / Cek Ulang",INDEX($Y$5:Y18,COUNTIF($AF$5:AF18,"&lt;"&amp;AG18)+1))))</f>
        <v/>
      </c>
      <c r="AF18" s="18">
        <f>SUM($AC$5:AC18)</f>
        <v>1298</v>
      </c>
      <c r="AG18" s="18">
        <f>SUM($AD$5:AD18)</f>
        <v>1040</v>
      </c>
    </row>
    <row r="19" spans="2:33" ht="15.75" x14ac:dyDescent="0.25">
      <c r="B19" s="18" t="str">
        <f t="shared" si="0"/>
        <v/>
      </c>
      <c r="C19" s="20"/>
      <c r="D19" s="20"/>
      <c r="E19" s="20"/>
      <c r="F19" s="20"/>
      <c r="G19" s="20"/>
      <c r="H19" s="20"/>
      <c r="I19" s="20" t="str">
        <f>IF(C19="","",IF(D19="IN","-",IF(K19&gt;J19,"Stok Tidak Cukup / Cek Ulang",INDEX($C$5:C19,COUNTIF($J$5:J19,"&lt;"&amp;K19)+1))))</f>
        <v/>
      </c>
      <c r="J19" s="18">
        <f>SUM($G$5:G19)</f>
        <v>960</v>
      </c>
      <c r="K19" s="18">
        <f>SUM($H$5:H19)</f>
        <v>900</v>
      </c>
      <c r="L19" s="22"/>
      <c r="M19" s="18" t="str">
        <f t="shared" si="1"/>
        <v/>
      </c>
      <c r="N19" s="20"/>
      <c r="O19" s="20"/>
      <c r="P19" s="20"/>
      <c r="Q19" s="20"/>
      <c r="R19" s="20"/>
      <c r="S19" s="20"/>
      <c r="T19" s="20" t="str">
        <f>IF(N19="","",IF(O19="IN","-",IF(V19&gt;U19,"Stok Tidak Cukup / Cek Ulang",INDEX($N$5:N19,COUNTIF($U$5:U19,"&lt;"&amp;V19)+1))))</f>
        <v/>
      </c>
      <c r="U19" s="18">
        <f>SUM($R$5:R19)</f>
        <v>900</v>
      </c>
      <c r="V19" s="18">
        <f>SUM($S$5:S19)</f>
        <v>740</v>
      </c>
      <c r="W19" s="22"/>
      <c r="X19" s="18" t="str">
        <f t="shared" si="2"/>
        <v/>
      </c>
      <c r="Y19" s="20"/>
      <c r="Z19" s="20"/>
      <c r="AA19" s="20"/>
      <c r="AB19" s="20"/>
      <c r="AC19" s="20"/>
      <c r="AD19" s="20"/>
      <c r="AE19" s="20" t="str">
        <f>IF(Y19="","",IF(Z19="IN","-",IF(AG19&gt;AF19,"Stok Tidak Cukup / Cek Ulang",INDEX($Y$5:Y19,COUNTIF($AF$5:AF19,"&lt;"&amp;AG19)+1))))</f>
        <v/>
      </c>
      <c r="AF19" s="18">
        <f>SUM($AC$5:AC19)</f>
        <v>1298</v>
      </c>
      <c r="AG19" s="18">
        <f>SUM($AD$5:AD19)</f>
        <v>1040</v>
      </c>
    </row>
    <row r="20" spans="2:33" ht="15.75" x14ac:dyDescent="0.25">
      <c r="B20" s="18" t="str">
        <f t="shared" si="0"/>
        <v/>
      </c>
      <c r="C20" s="20"/>
      <c r="D20" s="20"/>
      <c r="E20" s="20"/>
      <c r="F20" s="20"/>
      <c r="G20" s="20"/>
      <c r="H20" s="20"/>
      <c r="I20" s="20" t="str">
        <f>IF(C20="","",IF(D20="IN","-",IF(K20&gt;J20,"Stok Tidak Cukup / Cek Ulang",INDEX($C$5:C20,COUNTIF($J$5:J20,"&lt;"&amp;K20)+1))))</f>
        <v/>
      </c>
      <c r="J20" s="18">
        <f>SUM($G$5:G20)</f>
        <v>960</v>
      </c>
      <c r="K20" s="18">
        <f>SUM($H$5:H20)</f>
        <v>900</v>
      </c>
      <c r="L20" s="22"/>
      <c r="M20" s="18" t="str">
        <f t="shared" si="1"/>
        <v/>
      </c>
      <c r="N20" s="20"/>
      <c r="O20" s="20"/>
      <c r="P20" s="20"/>
      <c r="Q20" s="20"/>
      <c r="R20" s="20"/>
      <c r="S20" s="20"/>
      <c r="T20" s="20" t="str">
        <f>IF(N20="","",IF(O20="IN","-",IF(V20&gt;U20,"Stok Tidak Cukup / Cek Ulang",INDEX($N$5:N20,COUNTIF($U$5:U20,"&lt;"&amp;V20)+1))))</f>
        <v/>
      </c>
      <c r="U20" s="18">
        <f>SUM($R$5:R20)</f>
        <v>900</v>
      </c>
      <c r="V20" s="18">
        <f>SUM($S$5:S20)</f>
        <v>740</v>
      </c>
      <c r="W20" s="22"/>
      <c r="X20" s="18" t="str">
        <f t="shared" si="2"/>
        <v/>
      </c>
      <c r="Y20" s="20"/>
      <c r="Z20" s="20"/>
      <c r="AA20" s="20"/>
      <c r="AB20" s="20"/>
      <c r="AC20" s="20"/>
      <c r="AD20" s="20"/>
      <c r="AE20" s="20" t="str">
        <f>IF(Y20="","",IF(Z20="IN","-",IF(AG20&gt;AF20,"Stok Tidak Cukup / Cek Ulang",INDEX($Y$5:Y20,COUNTIF($AF$5:AF20,"&lt;"&amp;AG20)+1))))</f>
        <v/>
      </c>
      <c r="AF20" s="18">
        <f>SUM($AC$5:AC20)</f>
        <v>1298</v>
      </c>
      <c r="AG20" s="18">
        <f>SUM($AD$5:AD20)</f>
        <v>1040</v>
      </c>
    </row>
    <row r="21" spans="2:33" ht="15.75" customHeight="1" x14ac:dyDescent="0.25">
      <c r="B21" s="18" t="str">
        <f t="shared" si="0"/>
        <v/>
      </c>
      <c r="C21" s="20"/>
      <c r="D21" s="20"/>
      <c r="E21" s="20"/>
      <c r="F21" s="20"/>
      <c r="G21" s="20"/>
      <c r="H21" s="20"/>
      <c r="I21" s="20" t="str">
        <f>IF(C21="","",IF(D21="IN","-",IF(K21&gt;J21,"Stok Tidak Cukup / Cek Ulang",INDEX($C$5:C21,COUNTIF($J$5:J21,"&lt;"&amp;K21)+1))))</f>
        <v/>
      </c>
      <c r="J21" s="18">
        <f>SUM($G$5:G21)</f>
        <v>960</v>
      </c>
      <c r="K21" s="18">
        <f>SUM($H$5:H21)</f>
        <v>900</v>
      </c>
      <c r="L21" s="22"/>
      <c r="M21" s="18" t="str">
        <f t="shared" si="1"/>
        <v/>
      </c>
      <c r="N21" s="20"/>
      <c r="O21" s="20"/>
      <c r="P21" s="20"/>
      <c r="Q21" s="20"/>
      <c r="R21" s="20"/>
      <c r="S21" s="20"/>
      <c r="T21" s="20" t="str">
        <f>IF(N21="","",IF(O21="IN","-",IF(V21&gt;U21,"Stok Tidak Cukup / Cek Ulang",INDEX($N$5:N21,COUNTIF($U$5:U21,"&lt;"&amp;V21)+1))))</f>
        <v/>
      </c>
      <c r="U21" s="18">
        <f>SUM($R$5:R21)</f>
        <v>900</v>
      </c>
      <c r="V21" s="18">
        <f>SUM($S$5:S21)</f>
        <v>740</v>
      </c>
      <c r="W21" s="22"/>
      <c r="X21" s="18" t="str">
        <f t="shared" si="2"/>
        <v/>
      </c>
      <c r="Y21" s="20"/>
      <c r="Z21" s="20"/>
      <c r="AA21" s="20"/>
      <c r="AB21" s="20"/>
      <c r="AC21" s="20"/>
      <c r="AD21" s="20"/>
      <c r="AE21" s="20" t="str">
        <f>IF(Y21="","",IF(Z21="IN","-",IF(AG21&gt;AF21,"Stok Tidak Cukup / Cek Ulang",INDEX($Y$5:Y21,COUNTIF($AF$5:AF21,"&lt;"&amp;AG21)+1))))</f>
        <v/>
      </c>
      <c r="AF21" s="18">
        <f>SUM($AC$5:AC21)</f>
        <v>1298</v>
      </c>
      <c r="AG21" s="18">
        <f>SUM($AD$5:AD21)</f>
        <v>1040</v>
      </c>
    </row>
    <row r="22" spans="2:33" ht="15.75" customHeight="1" x14ac:dyDescent="0.25">
      <c r="B22" s="18" t="str">
        <f t="shared" si="0"/>
        <v/>
      </c>
      <c r="C22" s="20"/>
      <c r="D22" s="20"/>
      <c r="E22" s="20"/>
      <c r="F22" s="20"/>
      <c r="G22" s="20"/>
      <c r="H22" s="20"/>
      <c r="I22" s="20" t="str">
        <f>IF(C22="","",IF(D22="IN","-",IF(K22&gt;J22,"Stok Tidak Cukup / Cek Ulang",INDEX($C$5:C22,COUNTIF($J$5:J22,"&lt;"&amp;K22)+1))))</f>
        <v/>
      </c>
      <c r="J22" s="18">
        <f>SUM($G$5:G22)</f>
        <v>960</v>
      </c>
      <c r="K22" s="18">
        <f>SUM($H$5:H22)</f>
        <v>900</v>
      </c>
      <c r="L22" s="22"/>
      <c r="M22" s="18" t="str">
        <f t="shared" si="1"/>
        <v/>
      </c>
      <c r="N22" s="20"/>
      <c r="O22" s="20"/>
      <c r="P22" s="20"/>
      <c r="Q22" s="20"/>
      <c r="R22" s="20"/>
      <c r="S22" s="20"/>
      <c r="T22" s="20" t="str">
        <f>IF(N22="","",IF(O22="IN","-",IF(V22&gt;U22,"Stok Tidak Cukup / Cek Ulang",INDEX($N$5:N22,COUNTIF($U$5:U22,"&lt;"&amp;V22)+1))))</f>
        <v/>
      </c>
      <c r="U22" s="18">
        <f>SUM($R$5:R22)</f>
        <v>900</v>
      </c>
      <c r="V22" s="18">
        <f>SUM($S$5:S22)</f>
        <v>740</v>
      </c>
      <c r="W22" s="22"/>
      <c r="X22" s="18" t="str">
        <f t="shared" si="2"/>
        <v/>
      </c>
      <c r="Y22" s="20"/>
      <c r="Z22" s="20"/>
      <c r="AA22" s="20"/>
      <c r="AB22" s="20"/>
      <c r="AC22" s="20"/>
      <c r="AD22" s="20"/>
      <c r="AE22" s="20" t="str">
        <f>IF(Y22="","",IF(Z22="IN","-",IF(AG22&gt;AF22,"Stok Tidak Cukup / Cek Ulang",INDEX($Y$5:Y22,COUNTIF($AF$5:AF22,"&lt;"&amp;AG22)+1))))</f>
        <v/>
      </c>
      <c r="AF22" s="18">
        <f>SUM($AC$5:AC22)</f>
        <v>1298</v>
      </c>
      <c r="AG22" s="18">
        <f>SUM($AD$5:AD22)</f>
        <v>1040</v>
      </c>
    </row>
    <row r="23" spans="2:33" ht="15.75" customHeight="1" x14ac:dyDescent="0.25">
      <c r="B23" s="18" t="str">
        <f t="shared" si="0"/>
        <v/>
      </c>
      <c r="C23" s="20"/>
      <c r="D23" s="20"/>
      <c r="E23" s="20"/>
      <c r="F23" s="20"/>
      <c r="G23" s="20"/>
      <c r="H23" s="20"/>
      <c r="I23" s="20" t="str">
        <f>IF(C23="","",IF(D23="IN","-",IF(K23&gt;J23,"Stok Tidak Cukup / Cek Ulang",INDEX($C$5:C23,COUNTIF($J$5:J23,"&lt;"&amp;K23)+1))))</f>
        <v/>
      </c>
      <c r="J23" s="18">
        <f>SUM($G$5:G23)</f>
        <v>960</v>
      </c>
      <c r="K23" s="18">
        <f>SUM($H$5:H23)</f>
        <v>900</v>
      </c>
      <c r="L23" s="22"/>
      <c r="M23" s="18" t="str">
        <f t="shared" si="1"/>
        <v/>
      </c>
      <c r="N23" s="20"/>
      <c r="O23" s="20"/>
      <c r="P23" s="20"/>
      <c r="Q23" s="20"/>
      <c r="R23" s="20"/>
      <c r="S23" s="20"/>
      <c r="T23" s="20" t="str">
        <f>IF(N23="","",IF(O23="IN","-",IF(V23&gt;U23,"Stok Tidak Cukup / Cek Ulang",INDEX($N$5:N23,COUNTIF($U$5:U23,"&lt;"&amp;V23)+1))))</f>
        <v/>
      </c>
      <c r="U23" s="18">
        <f>SUM($R$5:R23)</f>
        <v>900</v>
      </c>
      <c r="V23" s="18">
        <f>SUM($S$5:S23)</f>
        <v>740</v>
      </c>
      <c r="W23" s="22"/>
      <c r="X23" s="18" t="str">
        <f t="shared" si="2"/>
        <v/>
      </c>
      <c r="Y23" s="20"/>
      <c r="Z23" s="20"/>
      <c r="AA23" s="20"/>
      <c r="AB23" s="20"/>
      <c r="AC23" s="20"/>
      <c r="AD23" s="20"/>
      <c r="AE23" s="20" t="str">
        <f>IF(Y23="","",IF(Z23="IN","-",IF(AG23&gt;AF23,"Stok Tidak Cukup / Cek Ulang",INDEX($Y$5:Y23,COUNTIF($AF$5:AF23,"&lt;"&amp;AG23)+1))))</f>
        <v/>
      </c>
      <c r="AF23" s="18">
        <f>SUM($AC$5:AC23)</f>
        <v>1298</v>
      </c>
      <c r="AG23" s="18">
        <f>SUM($AD$5:AD23)</f>
        <v>1040</v>
      </c>
    </row>
    <row r="24" spans="2:33" ht="15.75" customHeight="1" x14ac:dyDescent="0.25">
      <c r="B24" s="18" t="str">
        <f t="shared" si="0"/>
        <v/>
      </c>
      <c r="C24" s="20"/>
      <c r="D24" s="20"/>
      <c r="E24" s="20"/>
      <c r="F24" s="20"/>
      <c r="G24" s="20"/>
      <c r="H24" s="20"/>
      <c r="I24" s="20" t="str">
        <f>IF(C24="","",IF(D24="IN","-",IF(K24&gt;J24,"Stok Tidak Cukup / Cek Ulang",INDEX($C$5:C24,COUNTIF($J$5:J24,"&lt;"&amp;K24)+1))))</f>
        <v/>
      </c>
      <c r="J24" s="18">
        <f>SUM($G$5:G24)</f>
        <v>960</v>
      </c>
      <c r="K24" s="18">
        <f>SUM($H$5:H24)</f>
        <v>900</v>
      </c>
      <c r="L24" s="22"/>
      <c r="M24" s="18" t="str">
        <f t="shared" si="1"/>
        <v/>
      </c>
      <c r="N24" s="20"/>
      <c r="O24" s="20"/>
      <c r="P24" s="20"/>
      <c r="Q24" s="20"/>
      <c r="R24" s="20"/>
      <c r="S24" s="20"/>
      <c r="T24" s="20" t="str">
        <f>IF(N24="","",IF(O24="IN","-",IF(V24&gt;U24,"Stok Tidak Cukup / Cek Ulang",INDEX($N$5:N24,COUNTIF($U$5:U24,"&lt;"&amp;V24)+1))))</f>
        <v/>
      </c>
      <c r="U24" s="18">
        <f>SUM($R$5:R24)</f>
        <v>900</v>
      </c>
      <c r="V24" s="18">
        <f>SUM($S$5:S24)</f>
        <v>740</v>
      </c>
      <c r="W24" s="22"/>
      <c r="X24" s="18" t="str">
        <f t="shared" si="2"/>
        <v/>
      </c>
      <c r="Y24" s="20"/>
      <c r="Z24" s="20"/>
      <c r="AA24" s="20"/>
      <c r="AB24" s="20"/>
      <c r="AC24" s="20"/>
      <c r="AD24" s="20"/>
      <c r="AE24" s="20" t="str">
        <f>IF(Y24="","",IF(Z24="IN","-",IF(AG24&gt;AF24,"Stok Tidak Cukup / Cek Ulang",INDEX($Y$5:Y24,COUNTIF($AF$5:AF24,"&lt;"&amp;AG24)+1))))</f>
        <v/>
      </c>
      <c r="AF24" s="18">
        <f>SUM($AC$5:AC24)</f>
        <v>1298</v>
      </c>
      <c r="AG24" s="18">
        <f>SUM($AD$5:AD24)</f>
        <v>1040</v>
      </c>
    </row>
    <row r="25" spans="2:33" ht="15.75" customHeight="1" x14ac:dyDescent="0.25">
      <c r="B25" s="18" t="str">
        <f t="shared" si="0"/>
        <v/>
      </c>
      <c r="C25" s="20"/>
      <c r="D25" s="20"/>
      <c r="E25" s="20"/>
      <c r="F25" s="20"/>
      <c r="G25" s="20"/>
      <c r="H25" s="20"/>
      <c r="I25" s="20" t="str">
        <f>IF(C25="","",IF(D25="IN","-",IF(K25&gt;J25,"Stok Tidak Cukup / Cek Ulang",INDEX($C$5:C25,COUNTIF($J$5:J25,"&lt;"&amp;K25)+1))))</f>
        <v/>
      </c>
      <c r="J25" s="18">
        <f>SUM($G$5:G25)</f>
        <v>960</v>
      </c>
      <c r="K25" s="18">
        <f>SUM($H$5:H25)</f>
        <v>900</v>
      </c>
      <c r="L25" s="22"/>
      <c r="M25" s="18" t="str">
        <f t="shared" si="1"/>
        <v/>
      </c>
      <c r="N25" s="20"/>
      <c r="O25" s="20"/>
      <c r="P25" s="20"/>
      <c r="Q25" s="20"/>
      <c r="R25" s="20"/>
      <c r="S25" s="20"/>
      <c r="T25" s="20" t="str">
        <f>IF(N25="","",IF(O25="IN","-",IF(V25&gt;U25,"Stok Tidak Cukup / Cek Ulang",INDEX($N$5:N25,COUNTIF($U$5:U25,"&lt;"&amp;V25)+1))))</f>
        <v/>
      </c>
      <c r="U25" s="18">
        <f>SUM($R$5:R25)</f>
        <v>900</v>
      </c>
      <c r="V25" s="18">
        <f>SUM($S$5:S25)</f>
        <v>740</v>
      </c>
      <c r="W25" s="22"/>
      <c r="X25" s="18" t="str">
        <f t="shared" si="2"/>
        <v/>
      </c>
      <c r="Y25" s="20"/>
      <c r="Z25" s="20"/>
      <c r="AA25" s="20"/>
      <c r="AB25" s="20"/>
      <c r="AC25" s="20"/>
      <c r="AD25" s="20"/>
      <c r="AE25" s="20" t="str">
        <f>IF(Y25="","",IF(Z25="IN","-",IF(AG25&gt;AF25,"Stok Tidak Cukup / Cek Ulang",INDEX($Y$5:Y25,COUNTIF($AF$5:AF25,"&lt;"&amp;AG25)+1))))</f>
        <v/>
      </c>
      <c r="AF25" s="18">
        <f>SUM($AC$5:AC25)</f>
        <v>1298</v>
      </c>
      <c r="AG25" s="18">
        <f>SUM($AD$5:AD25)</f>
        <v>1040</v>
      </c>
    </row>
    <row r="26" spans="2:33" ht="15.75" customHeight="1" x14ac:dyDescent="0.25">
      <c r="B26" s="18" t="str">
        <f t="shared" si="0"/>
        <v/>
      </c>
      <c r="C26" s="20"/>
      <c r="D26" s="20"/>
      <c r="E26" s="20"/>
      <c r="F26" s="20"/>
      <c r="G26" s="20"/>
      <c r="H26" s="20"/>
      <c r="I26" s="20" t="str">
        <f>IF(C26="","",IF(D26="IN","-",IF(K26&gt;J26,"Stok Tidak Cukup / Cek Ulang",INDEX($C$5:C26,COUNTIF($J$5:J26,"&lt;"&amp;K26)+1))))</f>
        <v/>
      </c>
      <c r="J26" s="18">
        <f>SUM($G$5:G26)</f>
        <v>960</v>
      </c>
      <c r="K26" s="18">
        <f>SUM($H$5:H26)</f>
        <v>900</v>
      </c>
      <c r="L26" s="22"/>
      <c r="M26" s="18" t="str">
        <f t="shared" si="1"/>
        <v/>
      </c>
      <c r="N26" s="20"/>
      <c r="O26" s="20"/>
      <c r="P26" s="20"/>
      <c r="Q26" s="20"/>
      <c r="R26" s="20"/>
      <c r="S26" s="20"/>
      <c r="T26" s="20" t="str">
        <f>IF(N26="","",IF(O26="IN","-",IF(V26&gt;U26,"Stok Tidak Cukup / Cek Ulang",INDEX($N$5:N26,COUNTIF($U$5:U26,"&lt;"&amp;V26)+1))))</f>
        <v/>
      </c>
      <c r="U26" s="18">
        <f>SUM($R$5:R26)</f>
        <v>900</v>
      </c>
      <c r="V26" s="18">
        <f>SUM($S$5:S26)</f>
        <v>740</v>
      </c>
      <c r="W26" s="22"/>
      <c r="X26" s="18" t="str">
        <f t="shared" si="2"/>
        <v/>
      </c>
      <c r="Y26" s="20"/>
      <c r="Z26" s="20"/>
      <c r="AA26" s="20"/>
      <c r="AB26" s="20"/>
      <c r="AC26" s="20"/>
      <c r="AD26" s="20"/>
      <c r="AE26" s="20" t="str">
        <f>IF(Y26="","",IF(Z26="IN","-",IF(AG26&gt;AF26,"Stok Tidak Cukup / Cek Ulang",INDEX($Y$5:Y26,COUNTIF($AF$5:AF26,"&lt;"&amp;AG26)+1))))</f>
        <v/>
      </c>
      <c r="AF26" s="18">
        <f>SUM($AC$5:AC26)</f>
        <v>1298</v>
      </c>
      <c r="AG26" s="18">
        <f>SUM($AD$5:AD26)</f>
        <v>1040</v>
      </c>
    </row>
    <row r="27" spans="2:33" ht="15.75" customHeight="1" x14ac:dyDescent="0.25">
      <c r="B27" s="18" t="str">
        <f t="shared" si="0"/>
        <v/>
      </c>
      <c r="C27" s="20"/>
      <c r="D27" s="20"/>
      <c r="E27" s="20"/>
      <c r="F27" s="20"/>
      <c r="G27" s="20"/>
      <c r="H27" s="20"/>
      <c r="I27" s="20" t="str">
        <f>IF(C27="","",IF(D27="IN","-",IF(K27&gt;J27,"Stok Tidak Cukup / Cek Ulang",INDEX($C$5:C27,COUNTIF($J$5:J27,"&lt;"&amp;K27)+1))))</f>
        <v/>
      </c>
      <c r="J27" s="18">
        <f>SUM($G$5:G27)</f>
        <v>960</v>
      </c>
      <c r="K27" s="18">
        <f>SUM($H$5:H27)</f>
        <v>900</v>
      </c>
      <c r="L27" s="22"/>
      <c r="M27" s="18" t="str">
        <f t="shared" si="1"/>
        <v/>
      </c>
      <c r="N27" s="20"/>
      <c r="O27" s="20"/>
      <c r="P27" s="20"/>
      <c r="Q27" s="20"/>
      <c r="R27" s="20"/>
      <c r="S27" s="20"/>
      <c r="T27" s="20" t="str">
        <f>IF(N27="","",IF(O27="IN","-",IF(V27&gt;U27,"Stok Tidak Cukup / Cek Ulang",INDEX($N$5:N27,COUNTIF($U$5:U27,"&lt;"&amp;V27)+1))))</f>
        <v/>
      </c>
      <c r="U27" s="18">
        <f>SUM($R$5:R27)</f>
        <v>900</v>
      </c>
      <c r="V27" s="18">
        <f>SUM($S$5:S27)</f>
        <v>740</v>
      </c>
      <c r="W27" s="22"/>
      <c r="X27" s="18" t="str">
        <f t="shared" si="2"/>
        <v/>
      </c>
      <c r="Y27" s="20"/>
      <c r="Z27" s="20"/>
      <c r="AA27" s="20"/>
      <c r="AB27" s="20"/>
      <c r="AC27" s="20"/>
      <c r="AD27" s="20"/>
      <c r="AE27" s="20" t="str">
        <f>IF(Y27="","",IF(Z27="IN","-",IF(AG27&gt;AF27,"Stok Tidak Cukup / Cek Ulang",INDEX($Y$5:Y27,COUNTIF($AF$5:AF27,"&lt;"&amp;AG27)+1))))</f>
        <v/>
      </c>
      <c r="AF27" s="18">
        <f>SUM($AC$5:AC27)</f>
        <v>1298</v>
      </c>
      <c r="AG27" s="18">
        <f>SUM($AD$5:AD27)</f>
        <v>1040</v>
      </c>
    </row>
    <row r="28" spans="2:33" ht="15.75" customHeight="1" x14ac:dyDescent="0.25">
      <c r="B28" s="18" t="str">
        <f t="shared" si="0"/>
        <v/>
      </c>
      <c r="C28" s="20"/>
      <c r="D28" s="20"/>
      <c r="E28" s="20"/>
      <c r="F28" s="20"/>
      <c r="G28" s="20"/>
      <c r="H28" s="20"/>
      <c r="I28" s="20" t="str">
        <f>IF(C28="","",IF(D28="IN","-",IF(K28&gt;J28,"Stok Tidak Cukup / Cek Ulang",INDEX($C$5:C28,COUNTIF($J$5:J28,"&lt;"&amp;K28)+1))))</f>
        <v/>
      </c>
      <c r="J28" s="18">
        <f>SUM($G$5:G28)</f>
        <v>960</v>
      </c>
      <c r="K28" s="18">
        <f>SUM($H$5:H28)</f>
        <v>900</v>
      </c>
      <c r="L28" s="22"/>
      <c r="M28" s="18" t="str">
        <f t="shared" si="1"/>
        <v/>
      </c>
      <c r="N28" s="20"/>
      <c r="O28" s="20"/>
      <c r="P28" s="20"/>
      <c r="Q28" s="20"/>
      <c r="R28" s="20"/>
      <c r="S28" s="20"/>
      <c r="T28" s="20" t="str">
        <f>IF(N28="","",IF(O28="IN","-",IF(V28&gt;U28,"Stok Tidak Cukup / Cek Ulang",INDEX($N$5:N28,COUNTIF($U$5:U28,"&lt;"&amp;V28)+1))))</f>
        <v/>
      </c>
      <c r="U28" s="18">
        <f>SUM($R$5:R28)</f>
        <v>900</v>
      </c>
      <c r="V28" s="18">
        <f>SUM($S$5:S28)</f>
        <v>740</v>
      </c>
      <c r="W28" s="22"/>
      <c r="X28" s="18" t="str">
        <f t="shared" si="2"/>
        <v/>
      </c>
      <c r="Y28" s="20"/>
      <c r="Z28" s="20"/>
      <c r="AA28" s="20"/>
      <c r="AB28" s="20"/>
      <c r="AC28" s="20"/>
      <c r="AD28" s="20"/>
      <c r="AE28" s="20" t="str">
        <f>IF(Y28="","",IF(Z28="IN","-",IF(AG28&gt;AF28,"Stok Tidak Cukup / Cek Ulang",INDEX($Y$5:Y28,COUNTIF($AF$5:AF28,"&lt;"&amp;AG28)+1))))</f>
        <v/>
      </c>
      <c r="AF28" s="18">
        <f>SUM($AC$5:AC28)</f>
        <v>1298</v>
      </c>
      <c r="AG28" s="18">
        <f>SUM($AD$5:AD28)</f>
        <v>1040</v>
      </c>
    </row>
    <row r="29" spans="2:33" ht="15.75" customHeight="1" x14ac:dyDescent="0.25">
      <c r="B29" s="18" t="str">
        <f t="shared" si="0"/>
        <v/>
      </c>
      <c r="C29" s="20"/>
      <c r="D29" s="20"/>
      <c r="E29" s="20"/>
      <c r="F29" s="20"/>
      <c r="G29" s="20"/>
      <c r="H29" s="20"/>
      <c r="I29" s="20" t="str">
        <f>IF(C29="","",IF(D29="IN","-",IF(K29&gt;J29,"Stok Tidak Cukup / Cek Ulang",INDEX($C$5:C29,COUNTIF($J$5:J29,"&lt;"&amp;K29)+1))))</f>
        <v/>
      </c>
      <c r="J29" s="18">
        <f>SUM($G$5:G29)</f>
        <v>960</v>
      </c>
      <c r="K29" s="18">
        <f>SUM($H$5:H29)</f>
        <v>900</v>
      </c>
      <c r="L29" s="22"/>
      <c r="M29" s="18" t="str">
        <f t="shared" si="1"/>
        <v/>
      </c>
      <c r="N29" s="20"/>
      <c r="O29" s="20"/>
      <c r="P29" s="20"/>
      <c r="Q29" s="20"/>
      <c r="R29" s="20"/>
      <c r="S29" s="20"/>
      <c r="T29" s="20" t="str">
        <f>IF(N29="","",IF(O29="IN","-",IF(V29&gt;U29,"Stok Tidak Cukup / Cek Ulang",INDEX($N$5:N29,COUNTIF($U$5:U29,"&lt;"&amp;V29)+1))))</f>
        <v/>
      </c>
      <c r="U29" s="18">
        <f>SUM($R$5:R29)</f>
        <v>900</v>
      </c>
      <c r="V29" s="18">
        <f>SUM($S$5:S29)</f>
        <v>740</v>
      </c>
      <c r="W29" s="22"/>
      <c r="X29" s="18" t="str">
        <f t="shared" si="2"/>
        <v/>
      </c>
      <c r="Y29" s="20"/>
      <c r="Z29" s="20"/>
      <c r="AA29" s="20"/>
      <c r="AB29" s="20"/>
      <c r="AC29" s="20"/>
      <c r="AD29" s="20"/>
      <c r="AE29" s="20" t="str">
        <f>IF(Y29="","",IF(Z29="IN","-",IF(AG29&gt;AF29,"Stok Tidak Cukup / Cek Ulang",INDEX($Y$5:Y29,COUNTIF($AF$5:AF29,"&lt;"&amp;AG29)+1))))</f>
        <v/>
      </c>
      <c r="AF29" s="18">
        <f>SUM($AC$5:AC29)</f>
        <v>1298</v>
      </c>
      <c r="AG29" s="18">
        <f>SUM($AD$5:AD29)</f>
        <v>1040</v>
      </c>
    </row>
    <row r="30" spans="2:33" ht="15.75" customHeight="1" x14ac:dyDescent="0.25">
      <c r="B30" s="18" t="str">
        <f t="shared" si="0"/>
        <v/>
      </c>
      <c r="C30" s="20"/>
      <c r="D30" s="20"/>
      <c r="E30" s="20"/>
      <c r="F30" s="20"/>
      <c r="G30" s="20"/>
      <c r="H30" s="20"/>
      <c r="I30" s="20" t="str">
        <f>IF(C30="","",IF(D30="IN","-",IF(K30&gt;J30,"Stok Tidak Cukup / Cek Ulang",INDEX($C$5:C30,COUNTIF($J$5:J30,"&lt;"&amp;K30)+1))))</f>
        <v/>
      </c>
      <c r="J30" s="18">
        <f>SUM($G$5:G30)</f>
        <v>960</v>
      </c>
      <c r="K30" s="18">
        <f>SUM($H$5:H30)</f>
        <v>900</v>
      </c>
      <c r="L30" s="22"/>
      <c r="M30" s="18" t="str">
        <f t="shared" si="1"/>
        <v/>
      </c>
      <c r="N30" s="20"/>
      <c r="O30" s="20"/>
      <c r="P30" s="20"/>
      <c r="Q30" s="20"/>
      <c r="R30" s="20"/>
      <c r="S30" s="20"/>
      <c r="T30" s="20" t="str">
        <f>IF(N30="","",IF(O30="IN","-",IF(V30&gt;U30,"Stok Tidak Cukup / Cek Ulang",INDEX($N$5:N30,COUNTIF($U$5:U30,"&lt;"&amp;V30)+1))))</f>
        <v/>
      </c>
      <c r="U30" s="18">
        <f>SUM($R$5:R30)</f>
        <v>900</v>
      </c>
      <c r="V30" s="18">
        <f>SUM($S$5:S30)</f>
        <v>740</v>
      </c>
      <c r="W30" s="22"/>
      <c r="X30" s="18" t="str">
        <f t="shared" si="2"/>
        <v/>
      </c>
      <c r="Y30" s="20"/>
      <c r="Z30" s="20"/>
      <c r="AA30" s="20"/>
      <c r="AB30" s="20"/>
      <c r="AC30" s="20"/>
      <c r="AD30" s="20"/>
      <c r="AE30" s="20" t="str">
        <f>IF(Y30="","",IF(Z30="IN","-",IF(AG30&gt;AF30,"Stok Tidak Cukup / Cek Ulang",INDEX($Y$5:Y30,COUNTIF($AF$5:AF30,"&lt;"&amp;AG30)+1))))</f>
        <v/>
      </c>
      <c r="AF30" s="18">
        <f>SUM($AC$5:AC30)</f>
        <v>1298</v>
      </c>
      <c r="AG30" s="18">
        <f>SUM($AD$5:AD30)</f>
        <v>1040</v>
      </c>
    </row>
    <row r="31" spans="2:33" ht="15.75" customHeight="1" x14ac:dyDescent="0.25">
      <c r="B31" s="18" t="str">
        <f t="shared" si="0"/>
        <v/>
      </c>
      <c r="C31" s="20"/>
      <c r="D31" s="20"/>
      <c r="E31" s="20"/>
      <c r="F31" s="20"/>
      <c r="G31" s="20"/>
      <c r="H31" s="20"/>
      <c r="I31" s="20" t="str">
        <f>IF(C31="","",IF(D31="IN","-",IF(K31&gt;J31,"Stok Tidak Cukup / Cek Ulang",INDEX($C$5:C31,COUNTIF($J$5:J31,"&lt;"&amp;K31)+1))))</f>
        <v/>
      </c>
      <c r="J31" s="18">
        <f>SUM($G$5:G31)</f>
        <v>960</v>
      </c>
      <c r="K31" s="18">
        <f>SUM($H$5:H31)</f>
        <v>900</v>
      </c>
      <c r="L31" s="22"/>
      <c r="M31" s="18" t="str">
        <f t="shared" si="1"/>
        <v/>
      </c>
      <c r="N31" s="20"/>
      <c r="O31" s="20"/>
      <c r="P31" s="20"/>
      <c r="Q31" s="20"/>
      <c r="R31" s="20"/>
      <c r="S31" s="20"/>
      <c r="T31" s="20" t="str">
        <f>IF(N31="","",IF(O31="IN","-",IF(V31&gt;U31,"Stok Tidak Cukup / Cek Ulang",INDEX($N$5:N31,COUNTIF($U$5:U31,"&lt;"&amp;V31)+1))))</f>
        <v/>
      </c>
      <c r="U31" s="18">
        <f>SUM($R$5:R31)</f>
        <v>900</v>
      </c>
      <c r="V31" s="18">
        <f>SUM($S$5:S31)</f>
        <v>740</v>
      </c>
      <c r="W31" s="22"/>
      <c r="X31" s="18" t="str">
        <f t="shared" si="2"/>
        <v/>
      </c>
      <c r="Y31" s="20"/>
      <c r="Z31" s="20"/>
      <c r="AA31" s="20"/>
      <c r="AB31" s="20"/>
      <c r="AC31" s="20"/>
      <c r="AD31" s="20"/>
      <c r="AE31" s="20" t="str">
        <f>IF(Y31="","",IF(Z31="IN","-",IF(AG31&gt;AF31,"Stok Tidak Cukup / Cek Ulang",INDEX($Y$5:Y31,COUNTIF($AF$5:AF31,"&lt;"&amp;AG31)+1))))</f>
        <v/>
      </c>
      <c r="AF31" s="18">
        <f>SUM($AC$5:AC31)</f>
        <v>1298</v>
      </c>
      <c r="AG31" s="18">
        <f>SUM($AD$5:AD31)</f>
        <v>1040</v>
      </c>
    </row>
    <row r="32" spans="2:33" ht="15.75" customHeight="1" x14ac:dyDescent="0.25">
      <c r="B32" s="18" t="str">
        <f t="shared" si="0"/>
        <v/>
      </c>
      <c r="C32" s="20"/>
      <c r="D32" s="20"/>
      <c r="E32" s="20"/>
      <c r="F32" s="20"/>
      <c r="G32" s="20"/>
      <c r="H32" s="20"/>
      <c r="I32" s="20" t="str">
        <f>IF(C32="","",IF(D32="IN","-",IF(K32&gt;J32,"Stok Tidak Cukup / Cek Ulang",INDEX($C$5:C32,COUNTIF($J$5:J32,"&lt;"&amp;K32)+1))))</f>
        <v/>
      </c>
      <c r="J32" s="18">
        <f>SUM($G$5:G32)</f>
        <v>960</v>
      </c>
      <c r="K32" s="18">
        <f>SUM($H$5:H32)</f>
        <v>900</v>
      </c>
      <c r="L32" s="22"/>
      <c r="M32" s="18" t="str">
        <f t="shared" si="1"/>
        <v/>
      </c>
      <c r="N32" s="20"/>
      <c r="O32" s="20"/>
      <c r="P32" s="20"/>
      <c r="Q32" s="20"/>
      <c r="R32" s="20"/>
      <c r="S32" s="20"/>
      <c r="T32" s="20" t="str">
        <f>IF(N32="","",IF(O32="IN","-",IF(V32&gt;U32,"Stok Tidak Cukup / Cek Ulang",INDEX($N$5:N32,COUNTIF($U$5:U32,"&lt;"&amp;V32)+1))))</f>
        <v/>
      </c>
      <c r="U32" s="18">
        <f>SUM($R$5:R32)</f>
        <v>900</v>
      </c>
      <c r="V32" s="18">
        <f>SUM($S$5:S32)</f>
        <v>740</v>
      </c>
      <c r="W32" s="22"/>
      <c r="X32" s="18" t="str">
        <f t="shared" si="2"/>
        <v/>
      </c>
      <c r="Y32" s="20"/>
      <c r="Z32" s="20"/>
      <c r="AA32" s="20"/>
      <c r="AB32" s="20"/>
      <c r="AC32" s="20"/>
      <c r="AD32" s="20"/>
      <c r="AE32" s="20" t="str">
        <f>IF(Y32="","",IF(Z32="IN","-",IF(AG32&gt;AF32,"Stok Tidak Cukup / Cek Ulang",INDEX($Y$5:Y32,COUNTIF($AF$5:AF32,"&lt;"&amp;AG32)+1))))</f>
        <v/>
      </c>
      <c r="AF32" s="18">
        <f>SUM($AC$5:AC32)</f>
        <v>1298</v>
      </c>
      <c r="AG32" s="18">
        <f>SUM($AD$5:AD32)</f>
        <v>1040</v>
      </c>
    </row>
    <row r="33" spans="2:33" ht="15.75" customHeight="1" x14ac:dyDescent="0.25">
      <c r="B33" s="18" t="str">
        <f t="shared" si="0"/>
        <v/>
      </c>
      <c r="C33" s="20"/>
      <c r="D33" s="20"/>
      <c r="E33" s="20"/>
      <c r="F33" s="20"/>
      <c r="G33" s="20"/>
      <c r="H33" s="20"/>
      <c r="I33" s="20" t="str">
        <f>IF(C33="","",IF(D33="IN","-",IF(K33&gt;J33,"Stok Tidak Cukup / Cek Ulang",INDEX($C$5:C33,COUNTIF($J$5:J33,"&lt;"&amp;K33)+1))))</f>
        <v/>
      </c>
      <c r="J33" s="18">
        <f>SUM($G$5:G33)</f>
        <v>960</v>
      </c>
      <c r="K33" s="18">
        <f>SUM($H$5:H33)</f>
        <v>900</v>
      </c>
      <c r="L33" s="22"/>
      <c r="M33" s="18" t="str">
        <f t="shared" si="1"/>
        <v/>
      </c>
      <c r="N33" s="20"/>
      <c r="O33" s="20"/>
      <c r="P33" s="20"/>
      <c r="Q33" s="20"/>
      <c r="R33" s="20"/>
      <c r="S33" s="20"/>
      <c r="T33" s="20" t="str">
        <f>IF(N33="","",IF(O33="IN","-",IF(V33&gt;U33,"Stok Tidak Cukup / Cek Ulang",INDEX($N$5:N33,COUNTIF($U$5:U33,"&lt;"&amp;V33)+1))))</f>
        <v/>
      </c>
      <c r="U33" s="18">
        <f>SUM($R$5:R33)</f>
        <v>900</v>
      </c>
      <c r="V33" s="18">
        <f>SUM($S$5:S33)</f>
        <v>740</v>
      </c>
      <c r="W33" s="22"/>
      <c r="X33" s="18" t="str">
        <f t="shared" si="2"/>
        <v/>
      </c>
      <c r="Y33" s="20"/>
      <c r="Z33" s="20"/>
      <c r="AA33" s="20"/>
      <c r="AB33" s="20"/>
      <c r="AC33" s="20"/>
      <c r="AD33" s="20"/>
      <c r="AE33" s="20" t="str">
        <f>IF(Y33="","",IF(Z33="IN","-",IF(AG33&gt;AF33,"Stok Tidak Cukup / Cek Ulang",INDEX($Y$5:Y33,COUNTIF($AF$5:AF33,"&lt;"&amp;AG33)+1))))</f>
        <v/>
      </c>
      <c r="AF33" s="18">
        <f>SUM($AC$5:AC33)</f>
        <v>1298</v>
      </c>
      <c r="AG33" s="18">
        <f>SUM($AD$5:AD33)</f>
        <v>1040</v>
      </c>
    </row>
    <row r="34" spans="2:33" ht="15.75" customHeight="1" x14ac:dyDescent="0.25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2:33" ht="15.75" customHeight="1" x14ac:dyDescent="0.25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2:33" ht="15.75" customHeight="1" x14ac:dyDescent="0.25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2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2:33" ht="15.75" customHeight="1" x14ac:dyDescent="0.25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2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2:33" ht="15.75" customHeight="1" x14ac:dyDescent="0.25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2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2:33" ht="15.75" customHeight="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2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pans="2:33" ht="15.75" customHeight="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2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2:33" ht="15.75" customHeight="1" x14ac:dyDescent="0.25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2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 spans="2:33" ht="15.75" customHeight="1" x14ac:dyDescent="0.25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2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2:33" ht="15.75" customHeight="1" x14ac:dyDescent="0.25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2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2:33" ht="15.75" customHeight="1" x14ac:dyDescent="0.25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2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2:33" ht="15.75" customHeight="1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2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2:33" ht="15.75" customHeight="1" x14ac:dyDescent="0.25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2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2:33" ht="15.75" customHeight="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 spans="2:33" ht="15.75" customHeight="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2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spans="2:33" ht="15.75" customHeight="1" x14ac:dyDescent="0.25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2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spans="2:33" ht="15.75" customHeight="1" x14ac:dyDescent="0.25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2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 spans="2:33" ht="15.75" customHeight="1" x14ac:dyDescent="0.25"/>
    <row r="52" spans="2:33" ht="15.75" customHeight="1" x14ac:dyDescent="0.25"/>
    <row r="53" spans="2:33" ht="15.75" customHeight="1" x14ac:dyDescent="0.25"/>
    <row r="54" spans="2:33" ht="15.75" customHeight="1" x14ac:dyDescent="0.25"/>
    <row r="55" spans="2:33" ht="15.75" customHeight="1" x14ac:dyDescent="0.25"/>
    <row r="56" spans="2:33" ht="15.75" customHeight="1" x14ac:dyDescent="0.25"/>
    <row r="57" spans="2:33" ht="15.75" customHeight="1" x14ac:dyDescent="0.25"/>
    <row r="58" spans="2:33" ht="15.75" customHeight="1" x14ac:dyDescent="0.25"/>
    <row r="59" spans="2:33" ht="15.75" customHeight="1" x14ac:dyDescent="0.25"/>
    <row r="60" spans="2:33" ht="15.75" customHeight="1" x14ac:dyDescent="0.25"/>
    <row r="61" spans="2:33" ht="15.75" customHeight="1" x14ac:dyDescent="0.25"/>
    <row r="62" spans="2:33" ht="15.75" customHeight="1" x14ac:dyDescent="0.25"/>
    <row r="63" spans="2:33" ht="15.75" customHeight="1" x14ac:dyDescent="0.25"/>
    <row r="64" spans="2:3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E1:F2"/>
    <mergeCell ref="P1:Q2"/>
    <mergeCell ref="AA1:AB2"/>
  </mergeCells>
  <dataValidations count="6">
    <dataValidation type="list" allowBlank="1" showInputMessage="1" showErrorMessage="1" sqref="Z4:Z50 O4:O50 D4:D50" xr:uid="{7190CA78-7872-44EC-9D21-CE40280DE61B}">
      <formula1>$AI$11:$AI$12</formula1>
    </dataValidation>
    <dataValidation type="list" allowBlank="1" showErrorMessage="1" sqref="Q4:Q50 F4:F50" xr:uid="{362DBF6F-199F-49E5-9410-C16ABE741098}">
      <formula1>$AK$11:$AK$14</formula1>
    </dataValidation>
    <dataValidation type="list" allowBlank="1" showInputMessage="1" showErrorMessage="1" sqref="AA4:AA50" xr:uid="{1710B527-0D63-46B6-8F6C-C386CC0D5D3F}">
      <formula1>$AJ$12</formula1>
    </dataValidation>
    <dataValidation type="list" allowBlank="1" showInputMessage="1" showErrorMessage="1" sqref="AB4:AB50" xr:uid="{0C2D8132-5CC8-47BB-84BF-8B51A1388890}">
      <formula1>$AK$11:$AK$14</formula1>
    </dataValidation>
    <dataValidation type="list" allowBlank="1" showInputMessage="1" showErrorMessage="1" sqref="P4:P50" xr:uid="{F54CFF87-FBF4-4770-BC0D-75BE4BE7B8D9}">
      <formula1>$AJ$13</formula1>
    </dataValidation>
    <dataValidation type="list" allowBlank="1" showErrorMessage="1" sqref="E4:E50" xr:uid="{1ED628EE-1C52-4142-8899-15276A246DBE}">
      <formula1>$AJ$11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IMPLEMENTASI MRP</vt:lpstr>
      <vt:lpstr>IMPLEMENTASI AQL</vt:lpstr>
      <vt:lpstr>DATA RIWAYAT VENDOR</vt:lpstr>
      <vt:lpstr>IMPLEMENTASI FIFO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RAIHAN FAHRIFI</cp:lastModifiedBy>
  <dcterms:modified xsi:type="dcterms:W3CDTF">2026-07-22T13:30:12Z</dcterms:modified>
</cp:coreProperties>
</file>